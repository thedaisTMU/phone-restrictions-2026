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ontomu-my.sharepoint.com/personal/alockhart_torontomu_ca/Documents/Desktop/Parent Survey/"/>
    </mc:Choice>
  </mc:AlternateContent>
  <xr:revisionPtr revIDLastSave="2" documentId="8_{2A2FC345-158D-434E-BD9D-7D4D9BC2E5F5}" xr6:coauthVersionLast="47" xr6:coauthVersionMax="47" xr10:uidLastSave="{18BA6505-F320-4F9F-8D7A-4BE19451D379}"/>
  <bookViews>
    <workbookView xWindow="-110" yWindow="-110" windowWidth="19420" windowHeight="10300" activeTab="1" xr2:uid="{E55C5CF8-DAC1-4649-94DE-5FD7D47B69B5}"/>
  </bookViews>
  <sheets>
    <sheet name="GenPop" sheetId="1" r:id="rId1"/>
    <sheet name="Parents" sheetId="5" r:id="rId2"/>
    <sheet name="Extra Crosstabs" sheetId="3" r:id="rId3"/>
    <sheet name="Provin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Y40" i="5" l="1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D40" i="1"/>
  <c r="C40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<sst xmlns="http://schemas.openxmlformats.org/spreadsheetml/2006/main" count="303" uniqueCount="93">
  <si>
    <t/>
  </si>
  <si>
    <t>Flag for parents of kids 10-17</t>
  </si>
  <si>
    <t>Region</t>
  </si>
  <si>
    <t>age: How old are you?</t>
  </si>
  <si>
    <t>sexe: What is your gender?</t>
  </si>
  <si>
    <t>Before Tax Income</t>
  </si>
  <si>
    <t>Position on the political spectrum</t>
  </si>
  <si>
    <t>Indigenous Identity (binary)</t>
  </si>
  <si>
    <t>Racial Identity  (binary)</t>
  </si>
  <si>
    <t>Total</t>
  </si>
  <si>
    <t>Parent of K10-17</t>
  </si>
  <si>
    <t>Non-Parent</t>
  </si>
  <si>
    <t>BC</t>
  </si>
  <si>
    <t>Alberta</t>
  </si>
  <si>
    <t>Prairies</t>
  </si>
  <si>
    <t>Ontario</t>
  </si>
  <si>
    <t>Quebec</t>
  </si>
  <si>
    <t>Atlantic</t>
  </si>
  <si>
    <t>Territories</t>
  </si>
  <si>
    <t>1-15</t>
  </si>
  <si>
    <t>16-24</t>
  </si>
  <si>
    <t>25-34</t>
  </si>
  <si>
    <t>35-44</t>
  </si>
  <si>
    <t>45-54</t>
  </si>
  <si>
    <t>55-64</t>
  </si>
  <si>
    <t>&gt;= 65</t>
  </si>
  <si>
    <t>999</t>
  </si>
  <si>
    <t>Man</t>
  </si>
  <si>
    <t>Woman</t>
  </si>
  <si>
    <t>Non-binary/third gender</t>
  </si>
  <si>
    <t>Prefer to self-describe</t>
  </si>
  <si>
    <t>Prefer not to say</t>
  </si>
  <si>
    <t>&lt;30,000</t>
  </si>
  <si>
    <t>30,000-50,000</t>
  </si>
  <si>
    <t>50,000-70,000</t>
  </si>
  <si>
    <t>70,000-100,000</t>
  </si>
  <si>
    <t>100,000-150,000</t>
  </si>
  <si>
    <t>150,000+</t>
  </si>
  <si>
    <t>DK/PNS</t>
  </si>
  <si>
    <t>Left</t>
  </si>
  <si>
    <t>Center</t>
  </si>
  <si>
    <t>Right</t>
  </si>
  <si>
    <t>Indigenous</t>
  </si>
  <si>
    <t>Not Indigenous</t>
  </si>
  <si>
    <t>Don't know</t>
  </si>
  <si>
    <t>Racialized</t>
  </si>
  <si>
    <t>Not Racialized</t>
  </si>
  <si>
    <t>Q1: All Canadian provinces have announced restrictions on the use of mobile phones in K–12 schools. Overall, do you support or oppose phone restrictions in schools?</t>
  </si>
  <si>
    <t>Strongly support</t>
  </si>
  <si>
    <t>Somewhat support</t>
  </si>
  <si>
    <t>Neutral</t>
  </si>
  <si>
    <t>Somewhat oppose</t>
  </si>
  <si>
    <t>Strongly oppose</t>
  </si>
  <si>
    <t>Don’t know</t>
  </si>
  <si>
    <t>Q2: How effectively do you think phone restriction policies are enforced in schools?</t>
  </si>
  <si>
    <t>Very effectively</t>
  </si>
  <si>
    <t>Somewhat effectively</t>
  </si>
  <si>
    <t>Not very effectively</t>
  </si>
  <si>
    <t>Not at all effectively</t>
  </si>
  <si>
    <t>Q3: Excluding special accommodations for students with specific needs, which of the following best describes your preferred approach to phone restrictions for all other students in schools?</t>
  </si>
  <si>
    <t>Phones restricted for the full school day, from first bell to last bell</t>
  </si>
  <si>
    <t>Phones restricted during instructional time only, with use allowed during breaks and recess</t>
  </si>
  <si>
    <t>Let teachers decide on a case-by-case basis</t>
  </si>
  <si>
    <t>No restrictions; allow students to decide when to use their devices</t>
  </si>
  <si>
    <t>Other (please specify):</t>
  </si>
  <si>
    <t>Q4: Thinking about your oldest child’s school, which best describes the phone restrictions at that school?</t>
  </si>
  <si>
    <t>Rules vary from teacher to teacher</t>
  </si>
  <si>
    <t>There are no restrictions; students decide when to use their phones</t>
  </si>
  <si>
    <t>Q5: To the best of your knowledge, in the past week, how often has your oldest child used a phone during class time?</t>
  </si>
  <si>
    <t>Many times a day</t>
  </si>
  <si>
    <t>About once or twice a day</t>
  </si>
  <si>
    <t>A few times during the week</t>
  </si>
  <si>
    <t>Rarely during the week</t>
  </si>
  <si>
    <t>Never</t>
  </si>
  <si>
    <t>I am not confident that I know this</t>
  </si>
  <si>
    <t>Support</t>
  </si>
  <si>
    <t>Oppose</t>
  </si>
  <si>
    <t>Net Somewhat Effective</t>
  </si>
  <si>
    <t>At least a few times</t>
  </si>
  <si>
    <t>Quebec versus Rest of Canada</t>
  </si>
  <si>
    <t>Rest of Canada</t>
  </si>
  <si>
    <t>PROV: In which province or territory do you live?</t>
  </si>
  <si>
    <t>British Columbia</t>
  </si>
  <si>
    <t>Saskatchewan</t>
  </si>
  <si>
    <t>Manitoba</t>
  </si>
  <si>
    <t>New Brunswick</t>
  </si>
  <si>
    <t>Nova Scotia</t>
  </si>
  <si>
    <t>Prince Edward Island</t>
  </si>
  <si>
    <t>Newfoundland</t>
  </si>
  <si>
    <t>Northwest Territories</t>
  </si>
  <si>
    <t>Yukon</t>
  </si>
  <si>
    <t>Nunavut</t>
  </si>
  <si>
    <t>Outside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</si>
</sst>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2"/>
      <color indexed="60"/>
      <name val="Arial"/>
    </font>
    <font>
      <sz val="12"/>
      <color indexed="8"/>
      <name val="Arial"/>
    </font>
    <font>
      <b/>
      <sz val="12"/>
      <color indexed="8"/>
      <name val="Arial"/>
      <family val="2"/>
    </font>
    <font>
      <sz val="12"/>
      <color indexed="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2"/>
      </right>
      <top style="thin">
        <color indexed="63"/>
      </top>
      <bottom/>
      <diagonal/>
    </border>
    <border>
      <left style="thin">
        <color indexed="62"/>
      </left>
      <right style="thin">
        <color indexed="62"/>
      </right>
      <top style="thin">
        <color indexed="63"/>
      </top>
      <bottom/>
      <diagonal/>
    </border>
    <border>
      <left style="thin">
        <color indexed="62"/>
      </left>
      <right/>
      <top style="thin">
        <color indexed="63"/>
      </top>
      <bottom/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34">
    <xf numFmtId="0" fontId="0" fillId="0" borderId="0" xfId="0"/>
    <xf numFmtId="0" fontId="3" fillId="2" borderId="17" xfId="1" applyFont="1" applyFill="1" applyBorder="1" applyAlignment="1">
      <alignment horizontal="left" vertical="top" wrapText="1"/>
    </xf>
    <xf numFmtId="165" fontId="4" fillId="3" borderId="18" xfId="1" applyNumberFormat="1" applyFont="1" applyFill="1" applyBorder="1" applyAlignment="1">
      <alignment horizontal="right" vertical="top"/>
    </xf>
    <xf numFmtId="0" fontId="2" fillId="0" borderId="0" xfId="1" applyAlignment="1"/>
    <xf numFmtId="0" fontId="3" fillId="2" borderId="17" xfId="1" applyFont="1" applyFill="1" applyBorder="1" applyAlignment="1">
      <alignment horizontal="left" vertical="top"/>
    </xf>
    <xf numFmtId="0" fontId="0" fillId="0" borderId="0" xfId="0" applyAlignment="1">
      <alignment wrapText="1"/>
    </xf>
    <xf numFmtId="165" fontId="5" fillId="3" borderId="18" xfId="1" applyNumberFormat="1" applyFont="1" applyFill="1" applyBorder="1" applyAlignment="1">
      <alignment horizontal="right" vertical="top"/>
    </xf>
    <xf numFmtId="0" fontId="6" fillId="2" borderId="0" xfId="1" applyFont="1" applyFill="1" applyBorder="1" applyAlignment="1">
      <alignment horizontal="left" vertical="top"/>
    </xf>
    <xf numFmtId="165" fontId="1" fillId="0" borderId="0" xfId="0" applyNumberFormat="1" applyFont="1"/>
    <xf numFmtId="164" fontId="4" fillId="3" borderId="10" xfId="2" applyNumberFormat="1" applyFont="1" applyFill="1" applyBorder="1" applyAlignment="1">
      <alignment horizontal="right" vertical="top"/>
    </xf>
    <xf numFmtId="164" fontId="4" fillId="3" borderId="11" xfId="2" applyNumberFormat="1" applyFont="1" applyFill="1" applyBorder="1" applyAlignment="1">
      <alignment horizontal="right" vertical="top"/>
    </xf>
    <xf numFmtId="164" fontId="4" fillId="3" borderId="12" xfId="2" applyNumberFormat="1" applyFont="1" applyFill="1" applyBorder="1" applyAlignment="1">
      <alignment horizontal="right" vertical="top"/>
    </xf>
    <xf numFmtId="165" fontId="4" fillId="3" borderId="14" xfId="2" applyNumberFormat="1" applyFont="1" applyFill="1" applyBorder="1" applyAlignment="1">
      <alignment horizontal="right" vertical="top"/>
    </xf>
    <xf numFmtId="165" fontId="4" fillId="3" borderId="15" xfId="2" applyNumberFormat="1" applyFont="1" applyFill="1" applyBorder="1" applyAlignment="1">
      <alignment horizontal="right" vertical="top"/>
    </xf>
    <xf numFmtId="165" fontId="4" fillId="3" borderId="16" xfId="2" applyNumberFormat="1" applyFont="1" applyFill="1" applyBorder="1" applyAlignment="1">
      <alignment horizontal="right" vertical="top"/>
    </xf>
    <xf numFmtId="165" fontId="4" fillId="3" borderId="18" xfId="2" applyNumberFormat="1" applyFont="1" applyFill="1" applyBorder="1" applyAlignment="1">
      <alignment horizontal="right" vertical="top"/>
    </xf>
    <xf numFmtId="165" fontId="4" fillId="3" borderId="19" xfId="2" applyNumberFormat="1" applyFont="1" applyFill="1" applyBorder="1" applyAlignment="1">
      <alignment horizontal="right" vertical="top"/>
    </xf>
    <xf numFmtId="165" fontId="4" fillId="3" borderId="20" xfId="2" applyNumberFormat="1" applyFont="1" applyFill="1" applyBorder="1" applyAlignment="1">
      <alignment horizontal="right" vertical="top"/>
    </xf>
    <xf numFmtId="164" fontId="4" fillId="3" borderId="14" xfId="2" applyNumberFormat="1" applyFont="1" applyFill="1" applyBorder="1" applyAlignment="1">
      <alignment horizontal="right" vertical="top"/>
    </xf>
    <xf numFmtId="164" fontId="4" fillId="3" borderId="15" xfId="2" applyNumberFormat="1" applyFont="1" applyFill="1" applyBorder="1" applyAlignment="1">
      <alignment horizontal="right" vertical="top"/>
    </xf>
    <xf numFmtId="164" fontId="4" fillId="3" borderId="16" xfId="2" applyNumberFormat="1" applyFont="1" applyFill="1" applyBorder="1" applyAlignment="1">
      <alignment horizontal="right" vertical="top"/>
    </xf>
    <xf numFmtId="165" fontId="4" fillId="3" borderId="22" xfId="2" applyNumberFormat="1" applyFont="1" applyFill="1" applyBorder="1" applyAlignment="1">
      <alignment horizontal="right" vertical="top"/>
    </xf>
    <xf numFmtId="165" fontId="4" fillId="3" borderId="23" xfId="2" applyNumberFormat="1" applyFont="1" applyFill="1" applyBorder="1" applyAlignment="1">
      <alignment horizontal="right" vertical="top"/>
    </xf>
    <xf numFmtId="165" fontId="4" fillId="3" borderId="24" xfId="2" applyNumberFormat="1" applyFont="1" applyFill="1" applyBorder="1" applyAlignment="1">
      <alignment horizontal="right" vertical="top"/>
    </xf>
    <xf numFmtId="0" fontId="2" fillId="0" borderId="0" xfId="2" applyAlignment="1"/>
    <xf numFmtId="0" fontId="3" fillId="0" borderId="5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2" borderId="9" xfId="2" applyFont="1" applyFill="1" applyBorder="1" applyAlignment="1">
      <alignment horizontal="left" vertical="top"/>
    </xf>
    <xf numFmtId="0" fontId="3" fillId="2" borderId="13" xfId="2" applyFont="1" applyFill="1" applyBorder="1" applyAlignment="1">
      <alignment horizontal="left" vertical="top"/>
    </xf>
    <xf numFmtId="0" fontId="3" fillId="2" borderId="17" xfId="2" applyFont="1" applyFill="1" applyBorder="1" applyAlignment="1">
      <alignment horizontal="left" vertical="top"/>
    </xf>
    <xf numFmtId="0" fontId="3" fillId="2" borderId="21" xfId="2" applyFont="1" applyFill="1" applyBorder="1" applyAlignment="1">
      <alignment horizontal="left" vertical="top"/>
    </xf>
    <xf numFmtId="164" fontId="4" fillId="3" borderId="10" xfId="3" applyNumberFormat="1" applyFont="1" applyFill="1" applyBorder="1" applyAlignment="1">
      <alignment horizontal="right" vertical="top"/>
    </xf>
    <xf numFmtId="164" fontId="4" fillId="3" borderId="11" xfId="3" applyNumberFormat="1" applyFont="1" applyFill="1" applyBorder="1" applyAlignment="1">
      <alignment horizontal="right" vertical="top"/>
    </xf>
    <xf numFmtId="164" fontId="4" fillId="3" borderId="12" xfId="3" applyNumberFormat="1" applyFont="1" applyFill="1" applyBorder="1" applyAlignment="1">
      <alignment horizontal="right" vertical="top"/>
    </xf>
    <xf numFmtId="165" fontId="4" fillId="3" borderId="14" xfId="3" applyNumberFormat="1" applyFont="1" applyFill="1" applyBorder="1" applyAlignment="1">
      <alignment horizontal="right" vertical="top"/>
    </xf>
    <xf numFmtId="165" fontId="4" fillId="3" borderId="15" xfId="3" applyNumberFormat="1" applyFont="1" applyFill="1" applyBorder="1" applyAlignment="1">
      <alignment horizontal="right" vertical="top"/>
    </xf>
    <xf numFmtId="165" fontId="4" fillId="3" borderId="16" xfId="3" applyNumberFormat="1" applyFont="1" applyFill="1" applyBorder="1" applyAlignment="1">
      <alignment horizontal="right" vertical="top"/>
    </xf>
    <xf numFmtId="165" fontId="4" fillId="3" borderId="18" xfId="3" applyNumberFormat="1" applyFont="1" applyFill="1" applyBorder="1" applyAlignment="1">
      <alignment horizontal="right" vertical="top"/>
    </xf>
    <xf numFmtId="165" fontId="4" fillId="3" borderId="19" xfId="3" applyNumberFormat="1" applyFont="1" applyFill="1" applyBorder="1" applyAlignment="1">
      <alignment horizontal="right" vertical="top"/>
    </xf>
    <xf numFmtId="165" fontId="4" fillId="3" borderId="20" xfId="3" applyNumberFormat="1" applyFont="1" applyFill="1" applyBorder="1" applyAlignment="1">
      <alignment horizontal="right" vertical="top"/>
    </xf>
    <xf numFmtId="164" fontId="4" fillId="3" borderId="14" xfId="3" applyNumberFormat="1" applyFont="1" applyFill="1" applyBorder="1" applyAlignment="1">
      <alignment horizontal="right" vertical="top"/>
    </xf>
    <xf numFmtId="164" fontId="4" fillId="3" borderId="15" xfId="3" applyNumberFormat="1" applyFont="1" applyFill="1" applyBorder="1" applyAlignment="1">
      <alignment horizontal="right" vertical="top"/>
    </xf>
    <xf numFmtId="164" fontId="4" fillId="3" borderId="16" xfId="3" applyNumberFormat="1" applyFont="1" applyFill="1" applyBorder="1" applyAlignment="1">
      <alignment horizontal="right" vertical="top"/>
    </xf>
    <xf numFmtId="165" fontId="4" fillId="3" borderId="22" xfId="3" applyNumberFormat="1" applyFont="1" applyFill="1" applyBorder="1" applyAlignment="1">
      <alignment horizontal="right" vertical="top"/>
    </xf>
    <xf numFmtId="165" fontId="4" fillId="3" borderId="23" xfId="3" applyNumberFormat="1" applyFont="1" applyFill="1" applyBorder="1" applyAlignment="1">
      <alignment horizontal="right" vertical="top"/>
    </xf>
    <xf numFmtId="165" fontId="4" fillId="3" borderId="24" xfId="3" applyNumberFormat="1" applyFont="1" applyFill="1" applyBorder="1" applyAlignment="1">
      <alignment horizontal="right" vertical="top"/>
    </xf>
    <xf numFmtId="0" fontId="2" fillId="0" borderId="0" xfId="3" applyAlignment="1"/>
    <xf numFmtId="0" fontId="3" fillId="0" borderId="5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3" fillId="2" borderId="9" xfId="3" applyFont="1" applyFill="1" applyBorder="1" applyAlignment="1">
      <alignment horizontal="left" vertical="top"/>
    </xf>
    <xf numFmtId="0" fontId="3" fillId="2" borderId="13" xfId="3" applyFont="1" applyFill="1" applyBorder="1" applyAlignment="1">
      <alignment horizontal="left" vertical="top"/>
    </xf>
    <xf numFmtId="0" fontId="3" fillId="2" borderId="17" xfId="3" applyFont="1" applyFill="1" applyBorder="1" applyAlignment="1">
      <alignment horizontal="left" vertical="top"/>
    </xf>
    <xf numFmtId="0" fontId="3" fillId="2" borderId="21" xfId="3" applyFont="1" applyFill="1" applyBorder="1" applyAlignment="1">
      <alignment horizontal="left" vertical="top"/>
    </xf>
    <xf numFmtId="164" fontId="4" fillId="3" borderId="10" xfId="4" applyNumberFormat="1" applyFont="1" applyFill="1" applyBorder="1" applyAlignment="1">
      <alignment horizontal="right" vertical="top"/>
    </xf>
    <xf numFmtId="164" fontId="4" fillId="3" borderId="11" xfId="4" applyNumberFormat="1" applyFont="1" applyFill="1" applyBorder="1" applyAlignment="1">
      <alignment horizontal="right" vertical="top"/>
    </xf>
    <xf numFmtId="164" fontId="4" fillId="3" borderId="12" xfId="4" applyNumberFormat="1" applyFont="1" applyFill="1" applyBorder="1" applyAlignment="1">
      <alignment horizontal="right" vertical="top"/>
    </xf>
    <xf numFmtId="165" fontId="4" fillId="3" borderId="14" xfId="4" applyNumberFormat="1" applyFont="1" applyFill="1" applyBorder="1" applyAlignment="1">
      <alignment horizontal="right" vertical="top"/>
    </xf>
    <xf numFmtId="165" fontId="4" fillId="3" borderId="15" xfId="4" applyNumberFormat="1" applyFont="1" applyFill="1" applyBorder="1" applyAlignment="1">
      <alignment horizontal="right" vertical="top"/>
    </xf>
    <xf numFmtId="165" fontId="4" fillId="3" borderId="16" xfId="4" applyNumberFormat="1" applyFont="1" applyFill="1" applyBorder="1" applyAlignment="1">
      <alignment horizontal="right" vertical="top"/>
    </xf>
    <xf numFmtId="165" fontId="4" fillId="3" borderId="18" xfId="4" applyNumberFormat="1" applyFont="1" applyFill="1" applyBorder="1" applyAlignment="1">
      <alignment horizontal="right" vertical="top"/>
    </xf>
    <xf numFmtId="165" fontId="4" fillId="3" borderId="19" xfId="4" applyNumberFormat="1" applyFont="1" applyFill="1" applyBorder="1" applyAlignment="1">
      <alignment horizontal="right" vertical="top"/>
    </xf>
    <xf numFmtId="165" fontId="4" fillId="3" borderId="20" xfId="4" applyNumberFormat="1" applyFont="1" applyFill="1" applyBorder="1" applyAlignment="1">
      <alignment horizontal="right" vertical="top"/>
    </xf>
    <xf numFmtId="164" fontId="4" fillId="3" borderId="14" xfId="4" applyNumberFormat="1" applyFont="1" applyFill="1" applyBorder="1" applyAlignment="1">
      <alignment horizontal="right" vertical="top"/>
    </xf>
    <xf numFmtId="164" fontId="4" fillId="3" borderId="15" xfId="4" applyNumberFormat="1" applyFont="1" applyFill="1" applyBorder="1" applyAlignment="1">
      <alignment horizontal="right" vertical="top"/>
    </xf>
    <xf numFmtId="164" fontId="4" fillId="3" borderId="16" xfId="4" applyNumberFormat="1" applyFont="1" applyFill="1" applyBorder="1" applyAlignment="1">
      <alignment horizontal="right" vertical="top"/>
    </xf>
    <xf numFmtId="165" fontId="4" fillId="3" borderId="22" xfId="4" applyNumberFormat="1" applyFont="1" applyFill="1" applyBorder="1" applyAlignment="1">
      <alignment horizontal="right" vertical="top"/>
    </xf>
    <xf numFmtId="165" fontId="4" fillId="3" borderId="23" xfId="4" applyNumberFormat="1" applyFont="1" applyFill="1" applyBorder="1" applyAlignment="1">
      <alignment horizontal="right" vertical="top"/>
    </xf>
    <xf numFmtId="165" fontId="4" fillId="3" borderId="24" xfId="4" applyNumberFormat="1" applyFont="1" applyFill="1" applyBorder="1" applyAlignment="1">
      <alignment horizontal="right" vertical="top"/>
    </xf>
    <xf numFmtId="0" fontId="2" fillId="0" borderId="0" xfId="4" applyAlignment="1"/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0" fontId="3" fillId="2" borderId="9" xfId="4" applyFont="1" applyFill="1" applyBorder="1" applyAlignment="1">
      <alignment horizontal="left" vertical="top"/>
    </xf>
    <xf numFmtId="0" fontId="3" fillId="2" borderId="13" xfId="4" applyFont="1" applyFill="1" applyBorder="1" applyAlignment="1">
      <alignment horizontal="left" vertical="top"/>
    </xf>
    <xf numFmtId="0" fontId="3" fillId="2" borderId="17" xfId="4" applyFont="1" applyFill="1" applyBorder="1" applyAlignment="1">
      <alignment horizontal="left" vertical="top"/>
    </xf>
    <xf numFmtId="0" fontId="3" fillId="2" borderId="21" xfId="4" applyFont="1" applyFill="1" applyBorder="1" applyAlignment="1">
      <alignment horizontal="left" vertical="top"/>
    </xf>
    <xf numFmtId="0" fontId="3" fillId="2" borderId="17" xfId="2" applyFont="1" applyFill="1" applyBorder="1" applyAlignment="1">
      <alignment horizontal="left" vertical="top" wrapText="1"/>
    </xf>
    <xf numFmtId="0" fontId="3" fillId="2" borderId="13" xfId="2" applyFont="1" applyFill="1" applyBorder="1" applyAlignment="1">
      <alignment horizontal="left" vertical="top" wrapText="1"/>
    </xf>
    <xf numFmtId="0" fontId="3" fillId="2" borderId="21" xfId="2" applyFont="1" applyFill="1" applyBorder="1" applyAlignment="1">
      <alignment horizontal="left" vertical="top" wrapText="1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3" fillId="2" borderId="8" xfId="2" applyFont="1" applyFill="1" applyBorder="1" applyAlignment="1">
      <alignment horizontal="left" vertical="top" wrapText="1"/>
    </xf>
    <xf numFmtId="0" fontId="3" fillId="0" borderId="0" xfId="2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2" borderId="8" xfId="3" applyFont="1" applyFill="1" applyBorder="1" applyAlignment="1">
      <alignment horizontal="left" vertical="top" wrapText="1"/>
    </xf>
    <xf numFmtId="0" fontId="3" fillId="2" borderId="13" xfId="3" applyFont="1" applyFill="1" applyBorder="1" applyAlignment="1">
      <alignment horizontal="left" vertical="top" wrapText="1"/>
    </xf>
    <xf numFmtId="0" fontId="3" fillId="2" borderId="17" xfId="3" applyFont="1" applyFill="1" applyBorder="1" applyAlignment="1">
      <alignment horizontal="left" vertical="top" wrapText="1"/>
    </xf>
    <xf numFmtId="0" fontId="3" fillId="2" borderId="21" xfId="3" applyFont="1" applyFill="1" applyBorder="1" applyAlignment="1">
      <alignment horizontal="left" vertical="top" wrapText="1"/>
    </xf>
    <xf numFmtId="0" fontId="3" fillId="0" borderId="0" xfId="3" applyFont="1" applyBorder="1" applyAlignment="1">
      <alignment horizontal="left"/>
    </xf>
    <xf numFmtId="0" fontId="3" fillId="0" borderId="4" xfId="3" applyFont="1" applyBorder="1" applyAlignment="1">
      <alignment horizontal="left"/>
    </xf>
    <xf numFmtId="0" fontId="3" fillId="0" borderId="1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3" xfId="3" applyFont="1" applyBorder="1" applyAlignment="1">
      <alignment horizontal="center"/>
    </xf>
    <xf numFmtId="0" fontId="3" fillId="2" borderId="17" xfId="4" applyFont="1" applyFill="1" applyBorder="1" applyAlignment="1">
      <alignment horizontal="left" vertical="top"/>
    </xf>
    <xf numFmtId="0" fontId="3" fillId="2" borderId="13" xfId="4" applyFont="1" applyFill="1" applyBorder="1" applyAlignment="1">
      <alignment horizontal="left" vertical="top"/>
    </xf>
    <xf numFmtId="0" fontId="3" fillId="2" borderId="21" xfId="4" applyFont="1" applyFill="1" applyBorder="1" applyAlignment="1">
      <alignment horizontal="left" vertical="top"/>
    </xf>
    <xf numFmtId="0" fontId="3" fillId="0" borderId="0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2" borderId="8" xfId="4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left" vertical="top" wrapText="1"/>
    </xf>
    <xf numFmtId="164" fontId="4" fillId="3" borderId="10" xfId="1" applyNumberFormat="1" applyFont="1" applyFill="1" applyBorder="1" applyAlignment="1">
      <alignment horizontal="right" vertical="top"/>
    </xf>
    <xf numFmtId="164" fontId="4" fillId="3" borderId="11" xfId="1" applyNumberFormat="1" applyFont="1" applyFill="1" applyBorder="1" applyAlignment="1">
      <alignment horizontal="right" vertical="top"/>
    </xf>
    <xf numFmtId="164" fontId="4" fillId="3" borderId="12" xfId="1" applyNumberFormat="1" applyFont="1" applyFill="1" applyBorder="1" applyAlignment="1">
      <alignment horizontal="right" vertical="top"/>
    </xf>
    <xf numFmtId="0" fontId="3" fillId="2" borderId="13" xfId="1" applyFont="1" applyFill="1" applyBorder="1" applyAlignment="1">
      <alignment horizontal="left" vertical="top" wrapText="1"/>
    </xf>
    <xf numFmtId="165" fontId="4" fillId="3" borderId="14" xfId="1" applyNumberFormat="1" applyFont="1" applyFill="1" applyBorder="1" applyAlignment="1">
      <alignment horizontal="right" vertical="top"/>
    </xf>
    <xf numFmtId="165" fontId="4" fillId="3" borderId="15" xfId="1" applyNumberFormat="1" applyFont="1" applyFill="1" applyBorder="1" applyAlignment="1">
      <alignment horizontal="right" vertical="top"/>
    </xf>
    <xf numFmtId="165" fontId="4" fillId="3" borderId="16" xfId="1" applyNumberFormat="1" applyFont="1" applyFill="1" applyBorder="1" applyAlignment="1">
      <alignment horizontal="right" vertical="top"/>
    </xf>
    <xf numFmtId="0" fontId="3" fillId="2" borderId="17" xfId="1" applyFont="1" applyFill="1" applyBorder="1" applyAlignment="1">
      <alignment horizontal="left" vertical="top" wrapText="1"/>
    </xf>
    <xf numFmtId="165" fontId="4" fillId="3" borderId="19" xfId="1" applyNumberFormat="1" applyFont="1" applyFill="1" applyBorder="1" applyAlignment="1">
      <alignment horizontal="right" vertical="top"/>
    </xf>
    <xf numFmtId="165" fontId="4" fillId="3" borderId="20" xfId="1" applyNumberFormat="1" applyFont="1" applyFill="1" applyBorder="1" applyAlignment="1">
      <alignment horizontal="right" vertical="top"/>
    </xf>
    <xf numFmtId="164" fontId="4" fillId="3" borderId="14" xfId="1" applyNumberFormat="1" applyFont="1" applyFill="1" applyBorder="1" applyAlignment="1">
      <alignment horizontal="right" vertical="top"/>
    </xf>
    <xf numFmtId="164" fontId="4" fillId="3" borderId="15" xfId="1" applyNumberFormat="1" applyFont="1" applyFill="1" applyBorder="1" applyAlignment="1">
      <alignment horizontal="right" vertical="top"/>
    </xf>
    <xf numFmtId="164" fontId="4" fillId="3" borderId="16" xfId="1" applyNumberFormat="1" applyFont="1" applyFill="1" applyBorder="1" applyAlignment="1">
      <alignment horizontal="right" vertical="top"/>
    </xf>
    <xf numFmtId="0" fontId="3" fillId="2" borderId="21" xfId="1" applyFont="1" applyFill="1" applyBorder="1" applyAlignment="1">
      <alignment horizontal="left" vertical="top" wrapText="1"/>
    </xf>
    <xf numFmtId="165" fontId="4" fillId="3" borderId="22" xfId="1" applyNumberFormat="1" applyFont="1" applyFill="1" applyBorder="1" applyAlignment="1">
      <alignment horizontal="right" vertical="top"/>
    </xf>
    <xf numFmtId="165" fontId="4" fillId="3" borderId="23" xfId="1" applyNumberFormat="1" applyFont="1" applyFill="1" applyBorder="1" applyAlignment="1">
      <alignment horizontal="right" vertical="top"/>
    </xf>
    <xf numFmtId="165" fontId="4" fillId="3" borderId="24" xfId="1" applyNumberFormat="1" applyFont="1" applyFill="1" applyBorder="1" applyAlignment="1">
      <alignment horizontal="right" vertical="top"/>
    </xf>
    <xf numFmtId="0" fontId="3" fillId="0" borderId="0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left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2" borderId="9" xfId="1" applyFont="1" applyFill="1" applyBorder="1" applyAlignment="1">
      <alignment horizontal="left" vertical="top"/>
    </xf>
    <xf numFmtId="0" fontId="3" fillId="2" borderId="13" xfId="1" applyFont="1" applyFill="1" applyBorder="1" applyAlignment="1">
      <alignment horizontal="left" vertical="top"/>
    </xf>
    <xf numFmtId="0" fontId="3" fillId="2" borderId="21" xfId="1" applyFont="1" applyFill="1" applyBorder="1" applyAlignment="1">
      <alignment horizontal="left" vertical="top"/>
    </xf>
  </cellXfs>
  <cellStyles count="5">
    <cellStyle name="Normal" xfId="0" builtinId="0"/>
    <cellStyle name="Normal_Extra Crosstabs" xfId="3" xr:uid="{9288FC0F-389E-4B07-BFE4-851FAE989D7E}"/>
    <cellStyle name="Normal_GenPop" xfId="2" xr:uid="{6711094B-AEFC-4F17-A6C8-344D249D116C}"/>
    <cellStyle name="Normal_Provinces" xfId="4" xr:uid="{8F0F3C8C-010C-40E8-B52C-01D8C06046A8}"/>
    <cellStyle name="Normal_Sheet1" xfId="1" xr:uid="{33C356F5-26D1-42B9-B54C-C6BD37D8B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4F92-1F7C-4D97-A43D-1BC6E99B9D83}">
  <dimension ref="A1:AZ40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A40" sqref="A40:XFD40"/>
    </sheetView>
  </sheetViews>
  <sheetFormatPr defaultRowHeight="14.5" x14ac:dyDescent="0.35"/>
  <cols>
    <col min="1" max="1" width="27.81640625" style="5" customWidth="1"/>
    <col min="2" max="2" width="16.453125" customWidth="1"/>
    <col min="13" max="13" width="0" hidden="1" customWidth="1"/>
    <col min="15" max="15" width="0" hidden="1" customWidth="1"/>
    <col min="22" max="22" width="0" hidden="1" customWidth="1"/>
    <col min="26" max="28" width="0" hidden="1" customWidth="1"/>
    <col min="36" max="36" width="0" hidden="1" customWidth="1"/>
    <col min="41" max="41" width="0" hidden="1" customWidth="1"/>
    <col min="45" max="46" width="0" hidden="1" customWidth="1"/>
    <col min="50" max="51" width="0" hidden="1" customWidth="1"/>
  </cols>
  <sheetData>
    <row r="1" spans="1:52" ht="15.5" x14ac:dyDescent="0.35">
      <c r="A1" s="84" t="s">
        <v>0</v>
      </c>
      <c r="B1" s="84"/>
      <c r="C1" s="86" t="s">
        <v>1</v>
      </c>
      <c r="D1" s="81"/>
      <c r="E1" s="81"/>
      <c r="F1" s="81" t="s">
        <v>2</v>
      </c>
      <c r="G1" s="81"/>
      <c r="H1" s="81"/>
      <c r="I1" s="81"/>
      <c r="J1" s="81"/>
      <c r="K1" s="81"/>
      <c r="L1" s="81"/>
      <c r="M1" s="81"/>
      <c r="N1" s="81" t="s">
        <v>3</v>
      </c>
      <c r="O1" s="81"/>
      <c r="P1" s="81"/>
      <c r="Q1" s="81"/>
      <c r="R1" s="81"/>
      <c r="S1" s="81"/>
      <c r="T1" s="81"/>
      <c r="U1" s="81"/>
      <c r="V1" s="81"/>
      <c r="W1" s="81" t="s">
        <v>4</v>
      </c>
      <c r="X1" s="81"/>
      <c r="Y1" s="81"/>
      <c r="Z1" s="81"/>
      <c r="AA1" s="81"/>
      <c r="AB1" s="81"/>
      <c r="AC1" s="81" t="s">
        <v>5</v>
      </c>
      <c r="AD1" s="81"/>
      <c r="AE1" s="81"/>
      <c r="AF1" s="81"/>
      <c r="AG1" s="81"/>
      <c r="AH1" s="81"/>
      <c r="AI1" s="81"/>
      <c r="AJ1" s="81"/>
      <c r="AK1" s="81" t="s">
        <v>6</v>
      </c>
      <c r="AL1" s="81"/>
      <c r="AM1" s="81"/>
      <c r="AN1" s="81"/>
      <c r="AO1" s="81"/>
      <c r="AP1" s="81" t="s">
        <v>7</v>
      </c>
      <c r="AQ1" s="81"/>
      <c r="AR1" s="81"/>
      <c r="AS1" s="81"/>
      <c r="AT1" s="81"/>
      <c r="AU1" s="81" t="s">
        <v>8</v>
      </c>
      <c r="AV1" s="81"/>
      <c r="AW1" s="81"/>
      <c r="AX1" s="81"/>
      <c r="AY1" s="82"/>
      <c r="AZ1" s="24"/>
    </row>
    <row r="2" spans="1:52" ht="15.5" x14ac:dyDescent="0.35">
      <c r="A2" s="85"/>
      <c r="B2" s="85"/>
      <c r="C2" s="25" t="s">
        <v>9</v>
      </c>
      <c r="D2" s="26" t="s">
        <v>10</v>
      </c>
      <c r="E2" s="26" t="s">
        <v>11</v>
      </c>
      <c r="F2" s="26" t="s">
        <v>9</v>
      </c>
      <c r="G2" s="26" t="s">
        <v>12</v>
      </c>
      <c r="H2" s="26" t="s">
        <v>13</v>
      </c>
      <c r="I2" s="26" t="s">
        <v>14</v>
      </c>
      <c r="J2" s="26" t="s">
        <v>15</v>
      </c>
      <c r="K2" s="26" t="s">
        <v>16</v>
      </c>
      <c r="L2" s="26" t="s">
        <v>17</v>
      </c>
      <c r="M2" s="26" t="s">
        <v>18</v>
      </c>
      <c r="N2" s="26" t="s">
        <v>9</v>
      </c>
      <c r="O2" s="26" t="s">
        <v>19</v>
      </c>
      <c r="P2" s="26" t="s">
        <v>20</v>
      </c>
      <c r="Q2" s="26" t="s">
        <v>21</v>
      </c>
      <c r="R2" s="26" t="s">
        <v>22</v>
      </c>
      <c r="S2" s="26" t="s">
        <v>23</v>
      </c>
      <c r="T2" s="26" t="s">
        <v>24</v>
      </c>
      <c r="U2" s="26" t="s">
        <v>25</v>
      </c>
      <c r="V2" s="26" t="s">
        <v>26</v>
      </c>
      <c r="W2" s="26" t="s">
        <v>9</v>
      </c>
      <c r="X2" s="26" t="s">
        <v>27</v>
      </c>
      <c r="Y2" s="26" t="s">
        <v>28</v>
      </c>
      <c r="Z2" s="26" t="s">
        <v>29</v>
      </c>
      <c r="AA2" s="26" t="s">
        <v>30</v>
      </c>
      <c r="AB2" s="26" t="s">
        <v>31</v>
      </c>
      <c r="AC2" s="26" t="s">
        <v>9</v>
      </c>
      <c r="AD2" s="26" t="s">
        <v>32</v>
      </c>
      <c r="AE2" s="26" t="s">
        <v>33</v>
      </c>
      <c r="AF2" s="26" t="s">
        <v>34</v>
      </c>
      <c r="AG2" s="26" t="s">
        <v>35</v>
      </c>
      <c r="AH2" s="26" t="s">
        <v>36</v>
      </c>
      <c r="AI2" s="26" t="s">
        <v>37</v>
      </c>
      <c r="AJ2" s="26" t="s">
        <v>38</v>
      </c>
      <c r="AK2" s="26" t="s">
        <v>9</v>
      </c>
      <c r="AL2" s="26" t="s">
        <v>39</v>
      </c>
      <c r="AM2" s="26" t="s">
        <v>40</v>
      </c>
      <c r="AN2" s="26" t="s">
        <v>41</v>
      </c>
      <c r="AO2" s="26" t="s">
        <v>38</v>
      </c>
      <c r="AP2" s="26" t="s">
        <v>9</v>
      </c>
      <c r="AQ2" s="26" t="s">
        <v>42</v>
      </c>
      <c r="AR2" s="26" t="s">
        <v>43</v>
      </c>
      <c r="AS2" s="26" t="s">
        <v>44</v>
      </c>
      <c r="AT2" s="26" t="s">
        <v>31</v>
      </c>
      <c r="AU2" s="26" t="s">
        <v>9</v>
      </c>
      <c r="AV2" s="26" t="s">
        <v>45</v>
      </c>
      <c r="AW2" s="26" t="s">
        <v>46</v>
      </c>
      <c r="AX2" s="26" t="s">
        <v>44</v>
      </c>
      <c r="AY2" s="27" t="s">
        <v>31</v>
      </c>
      <c r="AZ2" s="24"/>
    </row>
    <row r="3" spans="1:52" ht="15.5" x14ac:dyDescent="0.35">
      <c r="A3" s="83" t="s">
        <v>47</v>
      </c>
      <c r="B3" s="28" t="s">
        <v>9</v>
      </c>
      <c r="C3" s="9">
        <v>1508.9999999999966</v>
      </c>
      <c r="D3" s="10">
        <v>289.15452537814735</v>
      </c>
      <c r="E3" s="10">
        <v>1219.8454746218497</v>
      </c>
      <c r="F3" s="10">
        <v>1508.9999999999966</v>
      </c>
      <c r="G3" s="10">
        <v>217.10187032774749</v>
      </c>
      <c r="H3" s="10">
        <v>170.14022138797336</v>
      </c>
      <c r="I3" s="10">
        <v>99.50617268940519</v>
      </c>
      <c r="J3" s="10">
        <v>600.02363563550159</v>
      </c>
      <c r="K3" s="10">
        <v>309.22625340176961</v>
      </c>
      <c r="L3" s="10">
        <v>100.9590944150543</v>
      </c>
      <c r="M3" s="10">
        <v>12.042752142547947</v>
      </c>
      <c r="N3" s="10">
        <v>1508.9999999999966</v>
      </c>
      <c r="O3" s="10">
        <v>0</v>
      </c>
      <c r="P3" s="10">
        <v>165.72712525171042</v>
      </c>
      <c r="Q3" s="10">
        <v>253.99671888955297</v>
      </c>
      <c r="R3" s="10">
        <v>220.55949557516684</v>
      </c>
      <c r="S3" s="10">
        <v>259.69059765071711</v>
      </c>
      <c r="T3" s="10">
        <v>287.13892027318246</v>
      </c>
      <c r="U3" s="10">
        <v>321.88714235966711</v>
      </c>
      <c r="V3" s="10">
        <v>0</v>
      </c>
      <c r="W3" s="10">
        <v>1508.9999999999966</v>
      </c>
      <c r="X3" s="10">
        <v>774.27557633601737</v>
      </c>
      <c r="Y3" s="10">
        <v>723.04730579985994</v>
      </c>
      <c r="Z3" s="10">
        <v>8.4950240982306084</v>
      </c>
      <c r="AA3" s="10">
        <v>1.0949224866943801</v>
      </c>
      <c r="AB3" s="10">
        <v>2.0871712791956885</v>
      </c>
      <c r="AC3" s="10">
        <v>1508.9999999999966</v>
      </c>
      <c r="AD3" s="10">
        <v>135.46481381083839</v>
      </c>
      <c r="AE3" s="10">
        <v>174.48332688664624</v>
      </c>
      <c r="AF3" s="10">
        <v>211.86323881561358</v>
      </c>
      <c r="AG3" s="10">
        <v>265.91588300110612</v>
      </c>
      <c r="AH3" s="10">
        <v>335.15014527404264</v>
      </c>
      <c r="AI3" s="10">
        <v>246.04605579212205</v>
      </c>
      <c r="AJ3" s="10">
        <v>140.07653641962801</v>
      </c>
      <c r="AK3" s="10">
        <v>1508.9999999999966</v>
      </c>
      <c r="AL3" s="10">
        <v>435.5898644591008</v>
      </c>
      <c r="AM3" s="10">
        <v>440.33509047047454</v>
      </c>
      <c r="AN3" s="10">
        <v>496.65453480327415</v>
      </c>
      <c r="AO3" s="10">
        <v>136.42051026715041</v>
      </c>
      <c r="AP3" s="10">
        <v>1508.9999999999966</v>
      </c>
      <c r="AQ3" s="10">
        <v>61.893534963944866</v>
      </c>
      <c r="AR3" s="10">
        <v>1419.5369095514054</v>
      </c>
      <c r="AS3" s="10">
        <v>13.569113680015986</v>
      </c>
      <c r="AT3" s="10">
        <v>14.000441804630313</v>
      </c>
      <c r="AU3" s="10">
        <v>1508.9999999999966</v>
      </c>
      <c r="AV3" s="10">
        <v>455.94107038246233</v>
      </c>
      <c r="AW3" s="10">
        <v>1025.8039564160908</v>
      </c>
      <c r="AX3" s="10">
        <v>2.7330074047684709</v>
      </c>
      <c r="AY3" s="11">
        <v>24.521965796677716</v>
      </c>
      <c r="AZ3" s="24"/>
    </row>
    <row r="4" spans="1:52" ht="15.5" x14ac:dyDescent="0.35">
      <c r="A4" s="79"/>
      <c r="B4" s="29" t="s">
        <v>48</v>
      </c>
      <c r="C4" s="12">
        <v>0.59404180700639964</v>
      </c>
      <c r="D4" s="13">
        <v>0.5750880164322435</v>
      </c>
      <c r="E4" s="13">
        <v>0.59853465010137008</v>
      </c>
      <c r="F4" s="13">
        <v>0.59404180700639964</v>
      </c>
      <c r="G4" s="13">
        <v>0.62271630484324647</v>
      </c>
      <c r="H4" s="13">
        <v>0.59272348174320166</v>
      </c>
      <c r="I4" s="13">
        <v>0.51195546133323777</v>
      </c>
      <c r="J4" s="13">
        <v>0.59543147880766956</v>
      </c>
      <c r="K4" s="13">
        <v>0.60605812255479796</v>
      </c>
      <c r="L4" s="13">
        <v>0.56202520217260232</v>
      </c>
      <c r="M4" s="13">
        <v>0.6646139142780173</v>
      </c>
      <c r="N4" s="13">
        <v>0.59404180700639964</v>
      </c>
      <c r="O4" s="13">
        <v>0</v>
      </c>
      <c r="P4" s="13">
        <v>0.28305571215003866</v>
      </c>
      <c r="Q4" s="13">
        <v>0.48620584758238672</v>
      </c>
      <c r="R4" s="13">
        <v>0.55193418909493619</v>
      </c>
      <c r="S4" s="13">
        <v>0.64640349949654352</v>
      </c>
      <c r="T4" s="13">
        <v>0.69496239824792327</v>
      </c>
      <c r="U4" s="13">
        <v>0.73583056308551475</v>
      </c>
      <c r="V4" s="13">
        <v>0</v>
      </c>
      <c r="W4" s="13">
        <v>0.59404180700639964</v>
      </c>
      <c r="X4" s="13">
        <v>0.56526983011222753</v>
      </c>
      <c r="Y4" s="13">
        <v>0.62721880004466657</v>
      </c>
      <c r="Z4" s="13">
        <v>0.49138678244136264</v>
      </c>
      <c r="AA4" s="13">
        <v>0</v>
      </c>
      <c r="AB4" s="13">
        <v>0.50367557752361769</v>
      </c>
      <c r="AC4" s="13">
        <v>0.59404180700639964</v>
      </c>
      <c r="AD4" s="13">
        <v>0.47842352856723536</v>
      </c>
      <c r="AE4" s="13">
        <v>0.64059225161920108</v>
      </c>
      <c r="AF4" s="13">
        <v>0.6168442788699805</v>
      </c>
      <c r="AG4" s="13">
        <v>0.60456279041993144</v>
      </c>
      <c r="AH4" s="13">
        <v>0.60883169505352275</v>
      </c>
      <c r="AI4" s="13">
        <v>0.60104311663057264</v>
      </c>
      <c r="AJ4" s="13">
        <v>0.54572359513695734</v>
      </c>
      <c r="AK4" s="13">
        <v>0.59404180700639964</v>
      </c>
      <c r="AL4" s="13">
        <v>0.56052279441887631</v>
      </c>
      <c r="AM4" s="13">
        <v>0.66676350939272011</v>
      </c>
      <c r="AN4" s="13">
        <v>0.59043824539148071</v>
      </c>
      <c r="AO4" s="13">
        <v>0.4794574970551711</v>
      </c>
      <c r="AP4" s="13">
        <v>0.59404180700639964</v>
      </c>
      <c r="AQ4" s="13">
        <v>0.57252376786665271</v>
      </c>
      <c r="AR4" s="13">
        <v>0.59535902571896537</v>
      </c>
      <c r="AS4" s="13">
        <v>0.64568596327071259</v>
      </c>
      <c r="AT4" s="13">
        <v>0.505560420694941</v>
      </c>
      <c r="AU4" s="13">
        <v>0.59404180700639964</v>
      </c>
      <c r="AV4" s="13">
        <v>0.55683701982352418</v>
      </c>
      <c r="AW4" s="13">
        <v>0.61105248082193742</v>
      </c>
      <c r="AX4" s="13">
        <v>0.99999999999999989</v>
      </c>
      <c r="AY4" s="14">
        <v>0.52896085996966291</v>
      </c>
      <c r="AZ4" s="24"/>
    </row>
    <row r="5" spans="1:52" ht="15.5" x14ac:dyDescent="0.35">
      <c r="A5" s="79"/>
      <c r="B5" s="29" t="s">
        <v>49</v>
      </c>
      <c r="C5" s="12">
        <v>0.2771748428104972</v>
      </c>
      <c r="D5" s="13">
        <v>0.2947169300566973</v>
      </c>
      <c r="E5" s="13">
        <v>0.27301663259670778</v>
      </c>
      <c r="F5" s="13">
        <v>0.2771748428104972</v>
      </c>
      <c r="G5" s="13">
        <v>0.24459302655493503</v>
      </c>
      <c r="H5" s="13">
        <v>0.29308023967460572</v>
      </c>
      <c r="I5" s="13">
        <v>0.34277341259880878</v>
      </c>
      <c r="J5" s="13">
        <v>0.26806069132314048</v>
      </c>
      <c r="K5" s="13">
        <v>0.28389234517374451</v>
      </c>
      <c r="L5" s="13">
        <v>0.28242862946985547</v>
      </c>
      <c r="M5" s="13">
        <v>0.33538608572198281</v>
      </c>
      <c r="N5" s="13">
        <v>0.2771748428104972</v>
      </c>
      <c r="O5" s="13">
        <v>0</v>
      </c>
      <c r="P5" s="13">
        <v>0.42024782095372215</v>
      </c>
      <c r="Q5" s="13">
        <v>0.33365972314398268</v>
      </c>
      <c r="R5" s="13">
        <v>0.31413771879405805</v>
      </c>
      <c r="S5" s="13">
        <v>0.24870593202654873</v>
      </c>
      <c r="T5" s="13">
        <v>0.2208821994381874</v>
      </c>
      <c r="U5" s="13">
        <v>0.20679724567154556</v>
      </c>
      <c r="V5" s="13">
        <v>0</v>
      </c>
      <c r="W5" s="13">
        <v>0.2771748428104972</v>
      </c>
      <c r="X5" s="13">
        <v>0.2955992160248338</v>
      </c>
      <c r="Y5" s="13">
        <v>0.25889279715726021</v>
      </c>
      <c r="Z5" s="13">
        <v>0.25777972470317928</v>
      </c>
      <c r="AA5" s="13">
        <v>0</v>
      </c>
      <c r="AB5" s="13">
        <v>0</v>
      </c>
      <c r="AC5" s="13">
        <v>0.2771748428104972</v>
      </c>
      <c r="AD5" s="13">
        <v>0.27755982431584114</v>
      </c>
      <c r="AE5" s="13">
        <v>0.19512372589441085</v>
      </c>
      <c r="AF5" s="13">
        <v>0.29166232965687627</v>
      </c>
      <c r="AG5" s="13">
        <v>0.30055637726940043</v>
      </c>
      <c r="AH5" s="13">
        <v>0.28344977582223962</v>
      </c>
      <c r="AI5" s="13">
        <v>0.28690208292885772</v>
      </c>
      <c r="AJ5" s="13">
        <v>0.28060953198950267</v>
      </c>
      <c r="AK5" s="13">
        <v>0.2771748428104972</v>
      </c>
      <c r="AL5" s="13">
        <v>0.31746711459695981</v>
      </c>
      <c r="AM5" s="13">
        <v>0.22971927440756204</v>
      </c>
      <c r="AN5" s="13">
        <v>0.28179851565187142</v>
      </c>
      <c r="AO5" s="13">
        <v>0.28486487940139421</v>
      </c>
      <c r="AP5" s="13">
        <v>0.2771748428104972</v>
      </c>
      <c r="AQ5" s="13">
        <v>0.17809239197017868</v>
      </c>
      <c r="AR5" s="13">
        <v>0.28560237417857975</v>
      </c>
      <c r="AS5" s="13">
        <v>0.13346181279933467</v>
      </c>
      <c r="AT5" s="13">
        <v>0</v>
      </c>
      <c r="AU5" s="13">
        <v>0.2771748428104972</v>
      </c>
      <c r="AV5" s="13">
        <v>0.26318888749420993</v>
      </c>
      <c r="AW5" s="13">
        <v>0.28599641323873959</v>
      </c>
      <c r="AX5" s="13">
        <v>0</v>
      </c>
      <c r="AY5" s="14">
        <v>0.19908528311015405</v>
      </c>
      <c r="AZ5" s="24"/>
    </row>
    <row r="6" spans="1:52" ht="15.5" x14ac:dyDescent="0.35">
      <c r="A6" s="79"/>
      <c r="B6" s="29" t="s">
        <v>50</v>
      </c>
      <c r="C6" s="12">
        <v>6.2758589747834853E-2</v>
      </c>
      <c r="D6" s="13">
        <v>6.5396976858287589E-2</v>
      </c>
      <c r="E6" s="13">
        <v>6.2133181375579084E-2</v>
      </c>
      <c r="F6" s="13">
        <v>6.2758589747834853E-2</v>
      </c>
      <c r="G6" s="13">
        <v>7.4675482619484826E-2</v>
      </c>
      <c r="H6" s="13">
        <v>6.1445069115706782E-2</v>
      </c>
      <c r="I6" s="13">
        <v>6.5005571061847373E-2</v>
      </c>
      <c r="J6" s="13">
        <v>6.1982993483246457E-2</v>
      </c>
      <c r="K6" s="13">
        <v>5.730420611854805E-2</v>
      </c>
      <c r="L6" s="13">
        <v>6.5933294288571032E-2</v>
      </c>
      <c r="M6" s="13">
        <v>0</v>
      </c>
      <c r="N6" s="13">
        <v>6.2758589747834853E-2</v>
      </c>
      <c r="O6" s="13">
        <v>0</v>
      </c>
      <c r="P6" s="13">
        <v>0.11392995624292887</v>
      </c>
      <c r="Q6" s="13">
        <v>9.9377729419592151E-2</v>
      </c>
      <c r="R6" s="13">
        <v>7.1618386799712427E-2</v>
      </c>
      <c r="S6" s="13">
        <v>6.1923798140323151E-2</v>
      </c>
      <c r="T6" s="13">
        <v>2.6116380416599791E-2</v>
      </c>
      <c r="U6" s="13">
        <v>3.4806105727948462E-2</v>
      </c>
      <c r="V6" s="13">
        <v>0</v>
      </c>
      <c r="W6" s="13">
        <v>6.2758589747834853E-2</v>
      </c>
      <c r="X6" s="13">
        <v>7.1425172556436656E-2</v>
      </c>
      <c r="Y6" s="13">
        <v>5.3058812191067395E-2</v>
      </c>
      <c r="Z6" s="13">
        <v>0.12194363050386851</v>
      </c>
      <c r="AA6" s="13">
        <v>0</v>
      </c>
      <c r="AB6" s="13">
        <v>0</v>
      </c>
      <c r="AC6" s="13">
        <v>6.2758589747834853E-2</v>
      </c>
      <c r="AD6" s="13">
        <v>7.7771208417948379E-2</v>
      </c>
      <c r="AE6" s="13">
        <v>9.4921079883513199E-2</v>
      </c>
      <c r="AF6" s="13">
        <v>7.2513355075541894E-2</v>
      </c>
      <c r="AG6" s="13">
        <v>3.4677304030625203E-2</v>
      </c>
      <c r="AH6" s="13">
        <v>6.7461557197150787E-2</v>
      </c>
      <c r="AI6" s="13">
        <v>4.5791115489018687E-2</v>
      </c>
      <c r="AJ6" s="13">
        <v>6.5283378992415708E-2</v>
      </c>
      <c r="AK6" s="13">
        <v>6.2758589747834853E-2</v>
      </c>
      <c r="AL6" s="13">
        <v>5.2782407196093534E-2</v>
      </c>
      <c r="AM6" s="13">
        <v>5.8963414802263144E-2</v>
      </c>
      <c r="AN6" s="13">
        <v>6.8483414236065049E-2</v>
      </c>
      <c r="AO6" s="13">
        <v>8.6020580626587559E-2</v>
      </c>
      <c r="AP6" s="13">
        <v>6.2758589747834853E-2</v>
      </c>
      <c r="AQ6" s="13">
        <v>0.11353581852004367</v>
      </c>
      <c r="AR6" s="13">
        <v>5.840099698171615E-2</v>
      </c>
      <c r="AS6" s="13">
        <v>6.1317088933906555E-2</v>
      </c>
      <c r="AT6" s="13">
        <v>0.28150464898404598</v>
      </c>
      <c r="AU6" s="13">
        <v>6.2758589747834853E-2</v>
      </c>
      <c r="AV6" s="13">
        <v>9.5311818611565235E-2</v>
      </c>
      <c r="AW6" s="13">
        <v>4.6964928956366225E-2</v>
      </c>
      <c r="AX6" s="13">
        <v>0</v>
      </c>
      <c r="AY6" s="14">
        <v>0.1251665311351656</v>
      </c>
      <c r="AZ6" s="24"/>
    </row>
    <row r="7" spans="1:52" ht="15.5" x14ac:dyDescent="0.35">
      <c r="A7" s="79"/>
      <c r="B7" s="29" t="s">
        <v>51</v>
      </c>
      <c r="C7" s="12">
        <v>3.9897723499259893E-2</v>
      </c>
      <c r="D7" s="13">
        <v>5.4444372051781029E-2</v>
      </c>
      <c r="E7" s="13">
        <v>3.6449557854057221E-2</v>
      </c>
      <c r="F7" s="13">
        <v>3.9897723499259893E-2</v>
      </c>
      <c r="G7" s="13">
        <v>2.8342626193491864E-2</v>
      </c>
      <c r="H7" s="13">
        <v>3.4383664112380703E-2</v>
      </c>
      <c r="I7" s="13">
        <v>5.8334550613493193E-2</v>
      </c>
      <c r="J7" s="13">
        <v>4.5965791303994558E-2</v>
      </c>
      <c r="K7" s="13">
        <v>2.9066043882889924E-2</v>
      </c>
      <c r="L7" s="13">
        <v>5.7738141195016877E-2</v>
      </c>
      <c r="M7" s="13">
        <v>0</v>
      </c>
      <c r="N7" s="13">
        <v>3.9897723499259893E-2</v>
      </c>
      <c r="O7" s="13">
        <v>0</v>
      </c>
      <c r="P7" s="13">
        <v>9.5915024644066718E-2</v>
      </c>
      <c r="Q7" s="13">
        <v>4.2018843955744518E-2</v>
      </c>
      <c r="R7" s="13">
        <v>5.1423313483345542E-2</v>
      </c>
      <c r="S7" s="13">
        <v>2.9725060804188283E-2</v>
      </c>
      <c r="T7" s="13">
        <v>4.2662080820687051E-2</v>
      </c>
      <c r="U7" s="13">
        <v>7.2265460270892947E-3</v>
      </c>
      <c r="V7" s="13">
        <v>0</v>
      </c>
      <c r="W7" s="13">
        <v>3.9897723499259893E-2</v>
      </c>
      <c r="X7" s="13">
        <v>4.3352473537617363E-2</v>
      </c>
      <c r="Y7" s="13">
        <v>3.6842545588332581E-2</v>
      </c>
      <c r="Z7" s="13">
        <v>0</v>
      </c>
      <c r="AA7" s="13">
        <v>0</v>
      </c>
      <c r="AB7" s="13">
        <v>0</v>
      </c>
      <c r="AC7" s="13">
        <v>3.9897723499259893E-2</v>
      </c>
      <c r="AD7" s="13">
        <v>9.9430615320291724E-2</v>
      </c>
      <c r="AE7" s="13">
        <v>3.8978262390726069E-2</v>
      </c>
      <c r="AF7" s="13">
        <v>1.898003639760272E-2</v>
      </c>
      <c r="AG7" s="13">
        <v>3.5855034532990097E-2</v>
      </c>
      <c r="AH7" s="13">
        <v>2.9817390827592005E-2</v>
      </c>
      <c r="AI7" s="13">
        <v>3.14234689136959E-2</v>
      </c>
      <c r="AJ7" s="13">
        <v>6.1785790018464341E-2</v>
      </c>
      <c r="AK7" s="13">
        <v>3.9897723499259893E-2</v>
      </c>
      <c r="AL7" s="13">
        <v>4.4488474723189758E-2</v>
      </c>
      <c r="AM7" s="13">
        <v>2.7122886901768135E-2</v>
      </c>
      <c r="AN7" s="13">
        <v>3.3840930909476291E-2</v>
      </c>
      <c r="AO7" s="13">
        <v>8.8524265201773117E-2</v>
      </c>
      <c r="AP7" s="13">
        <v>3.9897723499259893E-2</v>
      </c>
      <c r="AQ7" s="13">
        <v>4.6188526208015272E-2</v>
      </c>
      <c r="AR7" s="13">
        <v>3.8873341612029294E-2</v>
      </c>
      <c r="AS7" s="13">
        <v>0.15953513499604605</v>
      </c>
      <c r="AT7" s="13">
        <v>0</v>
      </c>
      <c r="AU7" s="13">
        <v>3.9897723499259893E-2</v>
      </c>
      <c r="AV7" s="13">
        <v>4.5804235646576083E-2</v>
      </c>
      <c r="AW7" s="13">
        <v>3.8332502312637587E-2</v>
      </c>
      <c r="AX7" s="13">
        <v>0</v>
      </c>
      <c r="AY7" s="14">
        <v>0</v>
      </c>
      <c r="AZ7" s="24"/>
    </row>
    <row r="8" spans="1:52" ht="15.5" x14ac:dyDescent="0.35">
      <c r="A8" s="79"/>
      <c r="B8" s="29" t="s">
        <v>52</v>
      </c>
      <c r="C8" s="12">
        <v>1.5754640174562289E-2</v>
      </c>
      <c r="D8" s="13">
        <v>6.4598822867583559E-3</v>
      </c>
      <c r="E8" s="13">
        <v>1.7957887521432916E-2</v>
      </c>
      <c r="F8" s="13">
        <v>1.5754640174562289E-2</v>
      </c>
      <c r="G8" s="13">
        <v>2.0257577841214066E-2</v>
      </c>
      <c r="H8" s="13">
        <v>1.2245030236069375E-2</v>
      </c>
      <c r="I8" s="13">
        <v>2.1931004392612599E-2</v>
      </c>
      <c r="J8" s="13">
        <v>1.4346235685483173E-2</v>
      </c>
      <c r="K8" s="13">
        <v>1.7774875896793906E-2</v>
      </c>
      <c r="L8" s="13">
        <v>9.9605959627339334E-3</v>
      </c>
      <c r="M8" s="13">
        <v>0</v>
      </c>
      <c r="N8" s="13">
        <v>1.5754640174562289E-2</v>
      </c>
      <c r="O8" s="13">
        <v>0</v>
      </c>
      <c r="P8" s="13">
        <v>6.7414728759427514E-2</v>
      </c>
      <c r="Q8" s="13">
        <v>2.2121232909661708E-2</v>
      </c>
      <c r="R8" s="13">
        <v>3.2916501354468375E-3</v>
      </c>
      <c r="S8" s="13">
        <v>9.8936521765127603E-3</v>
      </c>
      <c r="T8" s="13">
        <v>4.1228306086446721E-3</v>
      </c>
      <c r="U8" s="13">
        <v>7.7774587754775382E-3</v>
      </c>
      <c r="V8" s="13">
        <v>0</v>
      </c>
      <c r="W8" s="13">
        <v>1.5754640174562289E-2</v>
      </c>
      <c r="X8" s="13">
        <v>1.7212045863468698E-2</v>
      </c>
      <c r="Y8" s="13">
        <v>1.2934095363947738E-2</v>
      </c>
      <c r="Z8" s="13">
        <v>0.12888986235158964</v>
      </c>
      <c r="AA8" s="13">
        <v>0</v>
      </c>
      <c r="AB8" s="13">
        <v>0</v>
      </c>
      <c r="AC8" s="13">
        <v>1.5754640174562289E-2</v>
      </c>
      <c r="AD8" s="13">
        <v>5.1050238000610204E-2</v>
      </c>
      <c r="AE8" s="13">
        <v>1.2273257758863954E-2</v>
      </c>
      <c r="AF8" s="13">
        <v>0</v>
      </c>
      <c r="AG8" s="13">
        <v>2.043114189173325E-2</v>
      </c>
      <c r="AH8" s="13">
        <v>3.8382668866198122E-3</v>
      </c>
      <c r="AI8" s="13">
        <v>2.6179900148660448E-2</v>
      </c>
      <c r="AJ8" s="13">
        <v>1.1107785913380375E-2</v>
      </c>
      <c r="AK8" s="13">
        <v>1.5754640174562289E-2</v>
      </c>
      <c r="AL8" s="13">
        <v>2.222555441854247E-2</v>
      </c>
      <c r="AM8" s="13">
        <v>4.6492358557284653E-3</v>
      </c>
      <c r="AN8" s="13">
        <v>1.9053246483716927E-2</v>
      </c>
      <c r="AO8" s="13">
        <v>1.8929872213809498E-2</v>
      </c>
      <c r="AP8" s="13">
        <v>1.5754640174562289E-2</v>
      </c>
      <c r="AQ8" s="13">
        <v>8.9659495435109898E-2</v>
      </c>
      <c r="AR8" s="13">
        <v>1.212986858162169E-2</v>
      </c>
      <c r="AS8" s="13">
        <v>0</v>
      </c>
      <c r="AT8" s="13">
        <v>7.1827215331110569E-2</v>
      </c>
      <c r="AU8" s="13">
        <v>1.5754640174562289E-2</v>
      </c>
      <c r="AV8" s="13">
        <v>3.1953883504760798E-2</v>
      </c>
      <c r="AW8" s="13">
        <v>8.0977709108254574E-3</v>
      </c>
      <c r="AX8" s="13">
        <v>0</v>
      </c>
      <c r="AY8" s="14">
        <v>3.6617730582719679E-2</v>
      </c>
      <c r="AZ8" s="24"/>
    </row>
    <row r="9" spans="1:52" ht="15.5" x14ac:dyDescent="0.35">
      <c r="A9" s="78"/>
      <c r="B9" s="30" t="s">
        <v>53</v>
      </c>
      <c r="C9" s="15">
        <v>1.0372396761447964E-2</v>
      </c>
      <c r="D9" s="16">
        <v>3.8938223142321649E-3</v>
      </c>
      <c r="E9" s="16">
        <v>1.1908090550853869E-2</v>
      </c>
      <c r="F9" s="16">
        <v>1.0372396761447964E-2</v>
      </c>
      <c r="G9" s="16">
        <v>9.4149819476282842E-3</v>
      </c>
      <c r="H9" s="16">
        <v>6.1225151180346873E-3</v>
      </c>
      <c r="I9" s="16">
        <v>0</v>
      </c>
      <c r="J9" s="16">
        <v>1.4212809396463744E-2</v>
      </c>
      <c r="K9" s="16">
        <v>5.9044063732265461E-3</v>
      </c>
      <c r="L9" s="16">
        <v>2.1914136911219743E-2</v>
      </c>
      <c r="M9" s="16">
        <v>0</v>
      </c>
      <c r="N9" s="16">
        <v>1.0372396761447964E-2</v>
      </c>
      <c r="O9" s="16">
        <v>0</v>
      </c>
      <c r="P9" s="16">
        <v>1.9436757249816677E-2</v>
      </c>
      <c r="Q9" s="16">
        <v>1.661662298863438E-2</v>
      </c>
      <c r="R9" s="16">
        <v>7.5947416925013344E-3</v>
      </c>
      <c r="S9" s="16">
        <v>3.3480573558838599E-3</v>
      </c>
      <c r="T9" s="16">
        <v>1.1254110467958369E-2</v>
      </c>
      <c r="U9" s="16">
        <v>7.5620807124224141E-3</v>
      </c>
      <c r="V9" s="16">
        <v>0</v>
      </c>
      <c r="W9" s="16">
        <v>1.0372396761447964E-2</v>
      </c>
      <c r="X9" s="16">
        <v>7.1412619054155857E-3</v>
      </c>
      <c r="Y9" s="16">
        <v>1.1052949654727725E-2</v>
      </c>
      <c r="Z9" s="16">
        <v>0</v>
      </c>
      <c r="AA9" s="16">
        <v>1</v>
      </c>
      <c r="AB9" s="16">
        <v>0.49632442247638231</v>
      </c>
      <c r="AC9" s="16">
        <v>1.0372396761447964E-2</v>
      </c>
      <c r="AD9" s="16">
        <v>1.5764585378073279E-2</v>
      </c>
      <c r="AE9" s="16">
        <v>1.8111422453286258E-2</v>
      </c>
      <c r="AF9" s="16">
        <v>0</v>
      </c>
      <c r="AG9" s="16">
        <v>3.9173518553207382E-3</v>
      </c>
      <c r="AH9" s="16">
        <v>6.6013142128738102E-3</v>
      </c>
      <c r="AI9" s="16">
        <v>8.6603158891958056E-3</v>
      </c>
      <c r="AJ9" s="16">
        <v>3.5489917949279956E-2</v>
      </c>
      <c r="AK9" s="16">
        <v>1.0372396761447964E-2</v>
      </c>
      <c r="AL9" s="16">
        <v>2.5136546463357542E-3</v>
      </c>
      <c r="AM9" s="16">
        <v>1.278167863995671E-2</v>
      </c>
      <c r="AN9" s="16">
        <v>6.3856473273883963E-3</v>
      </c>
      <c r="AO9" s="16">
        <v>4.220290550126455E-2</v>
      </c>
      <c r="AP9" s="16">
        <v>1.0372396761447964E-2</v>
      </c>
      <c r="AQ9" s="16">
        <v>0</v>
      </c>
      <c r="AR9" s="16">
        <v>9.6343929270894368E-3</v>
      </c>
      <c r="AS9" s="16">
        <v>0</v>
      </c>
      <c r="AT9" s="16">
        <v>0.14110771498990218</v>
      </c>
      <c r="AU9" s="16">
        <v>1.0372396761447964E-2</v>
      </c>
      <c r="AV9" s="16">
        <v>6.9041549193613449E-3</v>
      </c>
      <c r="AW9" s="16">
        <v>9.5559037594940763E-3</v>
      </c>
      <c r="AX9" s="16">
        <v>0</v>
      </c>
      <c r="AY9" s="17">
        <v>0.11016959520229756</v>
      </c>
      <c r="AZ9" s="24"/>
    </row>
    <row r="10" spans="1:52" ht="15.5" x14ac:dyDescent="0.35">
      <c r="A10" s="1"/>
      <c r="B10" s="4" t="s">
        <v>75</v>
      </c>
      <c r="C10" s="6">
        <f>C4+C5</f>
        <v>0.87121664981689684</v>
      </c>
      <c r="D10" s="6">
        <f t="shared" ref="D10:AY10" si="0">D4+D5</f>
        <v>0.8698049464889408</v>
      </c>
      <c r="E10" s="6">
        <f t="shared" si="0"/>
        <v>0.8715512826980778</v>
      </c>
      <c r="F10" s="6">
        <f t="shared" si="0"/>
        <v>0.87121664981689684</v>
      </c>
      <c r="G10" s="6">
        <f t="shared" si="0"/>
        <v>0.86730933139818145</v>
      </c>
      <c r="H10" s="6">
        <f t="shared" si="0"/>
        <v>0.88580372141780739</v>
      </c>
      <c r="I10" s="6">
        <f t="shared" si="0"/>
        <v>0.85472887393204655</v>
      </c>
      <c r="J10" s="6">
        <f t="shared" si="0"/>
        <v>0.86349217013081003</v>
      </c>
      <c r="K10" s="6">
        <f t="shared" si="0"/>
        <v>0.88995046772854247</v>
      </c>
      <c r="L10" s="6">
        <f t="shared" si="0"/>
        <v>0.8444538316424578</v>
      </c>
      <c r="M10" s="6">
        <f t="shared" si="0"/>
        <v>1</v>
      </c>
      <c r="N10" s="6">
        <f t="shared" si="0"/>
        <v>0.87121664981689684</v>
      </c>
      <c r="O10" s="6">
        <f t="shared" si="0"/>
        <v>0</v>
      </c>
      <c r="P10" s="6">
        <f t="shared" si="0"/>
        <v>0.70330353310376081</v>
      </c>
      <c r="Q10" s="6">
        <f t="shared" si="0"/>
        <v>0.81986557072636934</v>
      </c>
      <c r="R10" s="6">
        <f t="shared" si="0"/>
        <v>0.86607190788899424</v>
      </c>
      <c r="S10" s="6">
        <f t="shared" si="0"/>
        <v>0.8951094315230923</v>
      </c>
      <c r="T10" s="6">
        <f t="shared" si="0"/>
        <v>0.91584459768611071</v>
      </c>
      <c r="U10" s="6">
        <f t="shared" si="0"/>
        <v>0.94262780875706031</v>
      </c>
      <c r="V10" s="6">
        <f t="shared" si="0"/>
        <v>0</v>
      </c>
      <c r="W10" s="6">
        <f t="shared" si="0"/>
        <v>0.87121664981689684</v>
      </c>
      <c r="X10" s="6">
        <f t="shared" si="0"/>
        <v>0.86086904613706139</v>
      </c>
      <c r="Y10" s="6">
        <f t="shared" si="0"/>
        <v>0.88611159720192678</v>
      </c>
      <c r="Z10" s="6">
        <f t="shared" si="0"/>
        <v>0.74916650714454192</v>
      </c>
      <c r="AA10" s="6">
        <f t="shared" si="0"/>
        <v>0</v>
      </c>
      <c r="AB10" s="6">
        <f t="shared" si="0"/>
        <v>0.50367557752361769</v>
      </c>
      <c r="AC10" s="6">
        <f t="shared" si="0"/>
        <v>0.87121664981689684</v>
      </c>
      <c r="AD10" s="6">
        <f t="shared" si="0"/>
        <v>0.7559833528830765</v>
      </c>
      <c r="AE10" s="6">
        <f t="shared" si="0"/>
        <v>0.83571597751361193</v>
      </c>
      <c r="AF10" s="6">
        <f t="shared" si="0"/>
        <v>0.90850660852685672</v>
      </c>
      <c r="AG10" s="6">
        <f t="shared" si="0"/>
        <v>0.90511916768933187</v>
      </c>
      <c r="AH10" s="6">
        <f t="shared" si="0"/>
        <v>0.89228147087576237</v>
      </c>
      <c r="AI10" s="6">
        <f t="shared" si="0"/>
        <v>0.8879451995594303</v>
      </c>
      <c r="AJ10" s="6">
        <f t="shared" si="0"/>
        <v>0.82633312712646001</v>
      </c>
      <c r="AK10" s="6">
        <f t="shared" si="0"/>
        <v>0.87121664981689684</v>
      </c>
      <c r="AL10" s="6">
        <f t="shared" si="0"/>
        <v>0.87798990901583607</v>
      </c>
      <c r="AM10" s="6">
        <f t="shared" si="0"/>
        <v>0.89648278380028212</v>
      </c>
      <c r="AN10" s="6">
        <f t="shared" si="0"/>
        <v>0.87223676104335213</v>
      </c>
      <c r="AO10" s="6">
        <f t="shared" si="0"/>
        <v>0.76432237645656531</v>
      </c>
      <c r="AP10" s="6">
        <f t="shared" si="0"/>
        <v>0.87121664981689684</v>
      </c>
      <c r="AQ10" s="6">
        <f t="shared" si="0"/>
        <v>0.75061615983683139</v>
      </c>
      <c r="AR10" s="6">
        <f t="shared" si="0"/>
        <v>0.88096139989754518</v>
      </c>
      <c r="AS10" s="6">
        <f t="shared" si="0"/>
        <v>0.77914777607004726</v>
      </c>
      <c r="AT10" s="6">
        <f t="shared" si="0"/>
        <v>0.505560420694941</v>
      </c>
      <c r="AU10" s="6">
        <f t="shared" si="0"/>
        <v>0.87121664981689684</v>
      </c>
      <c r="AV10" s="6">
        <f t="shared" si="0"/>
        <v>0.82002590731773406</v>
      </c>
      <c r="AW10" s="6">
        <f t="shared" si="0"/>
        <v>0.897048894060677</v>
      </c>
      <c r="AX10" s="6">
        <f t="shared" si="0"/>
        <v>0.99999999999999989</v>
      </c>
      <c r="AY10" s="6">
        <f t="shared" si="0"/>
        <v>0.72804614307981697</v>
      </c>
      <c r="AZ10" s="2"/>
    </row>
    <row r="11" spans="1:52" ht="15.5" x14ac:dyDescent="0.35">
      <c r="A11" s="1"/>
      <c r="B11" s="4" t="s">
        <v>76</v>
      </c>
      <c r="C11" s="6">
        <f>C7+C8</f>
        <v>5.5652363673822182E-2</v>
      </c>
      <c r="D11" s="6">
        <f t="shared" ref="D11:AY11" si="1">D7+D8</f>
        <v>6.0904254338539382E-2</v>
      </c>
      <c r="E11" s="6">
        <f t="shared" si="1"/>
        <v>5.4407445375490138E-2</v>
      </c>
      <c r="F11" s="6">
        <f t="shared" si="1"/>
        <v>5.5652363673822182E-2</v>
      </c>
      <c r="G11" s="6">
        <f t="shared" si="1"/>
        <v>4.8600204034705927E-2</v>
      </c>
      <c r="H11" s="6">
        <f t="shared" si="1"/>
        <v>4.662869434845008E-2</v>
      </c>
      <c r="I11" s="6">
        <f t="shared" si="1"/>
        <v>8.0265555006105799E-2</v>
      </c>
      <c r="J11" s="6">
        <f t="shared" si="1"/>
        <v>6.0312026989477727E-2</v>
      </c>
      <c r="K11" s="6">
        <f t="shared" si="1"/>
        <v>4.6840919779683826E-2</v>
      </c>
      <c r="L11" s="6">
        <f t="shared" si="1"/>
        <v>6.7698737157750807E-2</v>
      </c>
      <c r="M11" s="6">
        <f t="shared" si="1"/>
        <v>0</v>
      </c>
      <c r="N11" s="6">
        <f t="shared" si="1"/>
        <v>5.5652363673822182E-2</v>
      </c>
      <c r="O11" s="6">
        <f t="shared" si="1"/>
        <v>0</v>
      </c>
      <c r="P11" s="6">
        <f t="shared" si="1"/>
        <v>0.16332975340349423</v>
      </c>
      <c r="Q11" s="6">
        <f t="shared" si="1"/>
        <v>6.4140076865406223E-2</v>
      </c>
      <c r="R11" s="6">
        <f t="shared" si="1"/>
        <v>5.4714963618792377E-2</v>
      </c>
      <c r="S11" s="6">
        <f t="shared" si="1"/>
        <v>3.9618712980701042E-2</v>
      </c>
      <c r="T11" s="6">
        <f t="shared" si="1"/>
        <v>4.6784911429331721E-2</v>
      </c>
      <c r="U11" s="6">
        <f t="shared" si="1"/>
        <v>1.5004004802566834E-2</v>
      </c>
      <c r="V11" s="6">
        <f t="shared" si="1"/>
        <v>0</v>
      </c>
      <c r="W11" s="6">
        <f t="shared" si="1"/>
        <v>5.5652363673822182E-2</v>
      </c>
      <c r="X11" s="6">
        <f t="shared" si="1"/>
        <v>6.0564519401086064E-2</v>
      </c>
      <c r="Y11" s="6">
        <f t="shared" si="1"/>
        <v>4.9776640952280321E-2</v>
      </c>
      <c r="Z11" s="6">
        <f t="shared" si="1"/>
        <v>0.12888986235158964</v>
      </c>
      <c r="AA11" s="6">
        <f t="shared" si="1"/>
        <v>0</v>
      </c>
      <c r="AB11" s="6">
        <f t="shared" si="1"/>
        <v>0</v>
      </c>
      <c r="AC11" s="6">
        <f t="shared" si="1"/>
        <v>5.5652363673822182E-2</v>
      </c>
      <c r="AD11" s="6">
        <f t="shared" si="1"/>
        <v>0.15048085332090194</v>
      </c>
      <c r="AE11" s="6">
        <f t="shared" si="1"/>
        <v>5.1251520149590023E-2</v>
      </c>
      <c r="AF11" s="6">
        <f t="shared" si="1"/>
        <v>1.898003639760272E-2</v>
      </c>
      <c r="AG11" s="6">
        <f t="shared" si="1"/>
        <v>5.6286176424723347E-2</v>
      </c>
      <c r="AH11" s="6">
        <f t="shared" si="1"/>
        <v>3.365565771421182E-2</v>
      </c>
      <c r="AI11" s="6">
        <f t="shared" si="1"/>
        <v>5.7603369062356344E-2</v>
      </c>
      <c r="AJ11" s="6">
        <f t="shared" si="1"/>
        <v>7.2893575931844715E-2</v>
      </c>
      <c r="AK11" s="6">
        <f t="shared" si="1"/>
        <v>5.5652363673822182E-2</v>
      </c>
      <c r="AL11" s="6">
        <f t="shared" si="1"/>
        <v>6.6714029141732231E-2</v>
      </c>
      <c r="AM11" s="6">
        <f t="shared" si="1"/>
        <v>3.17721227574966E-2</v>
      </c>
      <c r="AN11" s="6">
        <f t="shared" si="1"/>
        <v>5.2894177393193215E-2</v>
      </c>
      <c r="AO11" s="6">
        <f t="shared" si="1"/>
        <v>0.10745413741558262</v>
      </c>
      <c r="AP11" s="6">
        <f t="shared" si="1"/>
        <v>5.5652363673822182E-2</v>
      </c>
      <c r="AQ11" s="6">
        <f t="shared" si="1"/>
        <v>0.13584802164312518</v>
      </c>
      <c r="AR11" s="6">
        <f t="shared" si="1"/>
        <v>5.1003210193650984E-2</v>
      </c>
      <c r="AS11" s="6">
        <f t="shared" si="1"/>
        <v>0.15953513499604605</v>
      </c>
      <c r="AT11" s="6">
        <f t="shared" si="1"/>
        <v>7.1827215331110569E-2</v>
      </c>
      <c r="AU11" s="6">
        <f t="shared" si="1"/>
        <v>5.5652363673822182E-2</v>
      </c>
      <c r="AV11" s="6">
        <f t="shared" si="1"/>
        <v>7.7758119151336874E-2</v>
      </c>
      <c r="AW11" s="6">
        <f t="shared" si="1"/>
        <v>4.6430273223463048E-2</v>
      </c>
      <c r="AX11" s="6">
        <f t="shared" si="1"/>
        <v>0</v>
      </c>
      <c r="AY11" s="6">
        <f t="shared" si="1"/>
        <v>3.6617730582719679E-2</v>
      </c>
      <c r="AZ11" s="2"/>
    </row>
    <row r="12" spans="1:52" ht="15.5" x14ac:dyDescent="0.35">
      <c r="A12" s="78" t="s">
        <v>54</v>
      </c>
      <c r="B12" s="29" t="s">
        <v>9</v>
      </c>
      <c r="C12" s="18">
        <v>1508.9999999999966</v>
      </c>
      <c r="D12" s="19">
        <v>289.15452537814735</v>
      </c>
      <c r="E12" s="19">
        <v>1219.8454746218497</v>
      </c>
      <c r="F12" s="19">
        <v>1508.9999999999966</v>
      </c>
      <c r="G12" s="19">
        <v>217.10187032774749</v>
      </c>
      <c r="H12" s="19">
        <v>170.14022138797336</v>
      </c>
      <c r="I12" s="19">
        <v>99.50617268940519</v>
      </c>
      <c r="J12" s="19">
        <v>600.02363563550159</v>
      </c>
      <c r="K12" s="19">
        <v>309.22625340176961</v>
      </c>
      <c r="L12" s="19">
        <v>100.9590944150543</v>
      </c>
      <c r="M12" s="19">
        <v>12.042752142547947</v>
      </c>
      <c r="N12" s="19">
        <v>1508.9999999999966</v>
      </c>
      <c r="O12" s="19">
        <v>0</v>
      </c>
      <c r="P12" s="19">
        <v>165.72712525171042</v>
      </c>
      <c r="Q12" s="19">
        <v>253.99671888955297</v>
      </c>
      <c r="R12" s="19">
        <v>220.55949557516684</v>
      </c>
      <c r="S12" s="19">
        <v>259.69059765071711</v>
      </c>
      <c r="T12" s="19">
        <v>287.13892027318246</v>
      </c>
      <c r="U12" s="19">
        <v>321.88714235966711</v>
      </c>
      <c r="V12" s="19">
        <v>0</v>
      </c>
      <c r="W12" s="19">
        <v>1508.9999999999966</v>
      </c>
      <c r="X12" s="19">
        <v>774.27557633601737</v>
      </c>
      <c r="Y12" s="19">
        <v>723.04730579985994</v>
      </c>
      <c r="Z12" s="19">
        <v>8.4950240982306084</v>
      </c>
      <c r="AA12" s="19">
        <v>1.0949224866943801</v>
      </c>
      <c r="AB12" s="19">
        <v>2.0871712791956885</v>
      </c>
      <c r="AC12" s="19">
        <v>1508.9999999999966</v>
      </c>
      <c r="AD12" s="19">
        <v>135.46481381083839</v>
      </c>
      <c r="AE12" s="19">
        <v>174.48332688664624</v>
      </c>
      <c r="AF12" s="19">
        <v>211.86323881561358</v>
      </c>
      <c r="AG12" s="19">
        <v>265.91588300110612</v>
      </c>
      <c r="AH12" s="19">
        <v>335.15014527404264</v>
      </c>
      <c r="AI12" s="19">
        <v>246.04605579212205</v>
      </c>
      <c r="AJ12" s="19">
        <v>140.07653641962801</v>
      </c>
      <c r="AK12" s="19">
        <v>1508.9999999999966</v>
      </c>
      <c r="AL12" s="19">
        <v>435.5898644591008</v>
      </c>
      <c r="AM12" s="19">
        <v>440.33509047047454</v>
      </c>
      <c r="AN12" s="19">
        <v>496.65453480327415</v>
      </c>
      <c r="AO12" s="19">
        <v>136.42051026715041</v>
      </c>
      <c r="AP12" s="19">
        <v>1508.9999999999966</v>
      </c>
      <c r="AQ12" s="19">
        <v>61.893534963944866</v>
      </c>
      <c r="AR12" s="19">
        <v>1419.5369095514054</v>
      </c>
      <c r="AS12" s="19">
        <v>13.569113680015986</v>
      </c>
      <c r="AT12" s="19">
        <v>14.000441804630313</v>
      </c>
      <c r="AU12" s="19">
        <v>1508.9999999999966</v>
      </c>
      <c r="AV12" s="19">
        <v>455.94107038246233</v>
      </c>
      <c r="AW12" s="19">
        <v>1025.8039564160908</v>
      </c>
      <c r="AX12" s="19">
        <v>2.7330074047684709</v>
      </c>
      <c r="AY12" s="20">
        <v>24.521965796677716</v>
      </c>
      <c r="AZ12" s="24"/>
    </row>
    <row r="13" spans="1:52" ht="15.5" x14ac:dyDescent="0.35">
      <c r="A13" s="79"/>
      <c r="B13" s="29" t="s">
        <v>55</v>
      </c>
      <c r="C13" s="12">
        <v>9.4889234162117239E-2</v>
      </c>
      <c r="D13" s="13">
        <v>0.17579932193192613</v>
      </c>
      <c r="E13" s="13">
        <v>7.571015081581399E-2</v>
      </c>
      <c r="F13" s="13">
        <v>9.4889234162117239E-2</v>
      </c>
      <c r="G13" s="13">
        <v>5.5327887808792074E-2</v>
      </c>
      <c r="H13" s="13">
        <v>0.10146634052286446</v>
      </c>
      <c r="I13" s="13">
        <v>5.1843107126155683E-2</v>
      </c>
      <c r="J13" s="13">
        <v>0.10610083506339278</v>
      </c>
      <c r="K13" s="13">
        <v>0.11262665268690329</v>
      </c>
      <c r="L13" s="13">
        <v>0.10166221312540183</v>
      </c>
      <c r="M13" s="13">
        <v>0</v>
      </c>
      <c r="N13" s="13">
        <v>9.4889234162117239E-2</v>
      </c>
      <c r="O13" s="13">
        <v>0</v>
      </c>
      <c r="P13" s="13">
        <v>6.3805168999697626E-2</v>
      </c>
      <c r="Q13" s="13">
        <v>0.13858192086537235</v>
      </c>
      <c r="R13" s="13">
        <v>0.1133184840764644</v>
      </c>
      <c r="S13" s="13">
        <v>0.12549916470807868</v>
      </c>
      <c r="T13" s="13">
        <v>7.7058138199084553E-2</v>
      </c>
      <c r="U13" s="13">
        <v>5.4998911772053745E-2</v>
      </c>
      <c r="V13" s="13">
        <v>0</v>
      </c>
      <c r="W13" s="13">
        <v>9.4889234162117239E-2</v>
      </c>
      <c r="X13" s="13">
        <v>0.10869562296601747</v>
      </c>
      <c r="Y13" s="13">
        <v>8.1637104183827663E-2</v>
      </c>
      <c r="Z13" s="13">
        <v>0</v>
      </c>
      <c r="AA13" s="13">
        <v>0</v>
      </c>
      <c r="AB13" s="13">
        <v>0</v>
      </c>
      <c r="AC13" s="13">
        <v>9.4889234162117239E-2</v>
      </c>
      <c r="AD13" s="13">
        <v>9.8107753171340684E-2</v>
      </c>
      <c r="AE13" s="13">
        <v>8.3529972033947728E-2</v>
      </c>
      <c r="AF13" s="13">
        <v>0.10812360555996152</v>
      </c>
      <c r="AG13" s="13">
        <v>0.10726627405711786</v>
      </c>
      <c r="AH13" s="13">
        <v>9.3763455122355399E-2</v>
      </c>
      <c r="AI13" s="13">
        <v>8.5123787055480543E-2</v>
      </c>
      <c r="AJ13" s="13">
        <v>8.2259940172231635E-2</v>
      </c>
      <c r="AK13" s="13">
        <v>9.4889234162117239E-2</v>
      </c>
      <c r="AL13" s="13">
        <v>5.5557586933273659E-2</v>
      </c>
      <c r="AM13" s="13">
        <v>0.10303102523462714</v>
      </c>
      <c r="AN13" s="13">
        <v>0.1247247268264129</v>
      </c>
      <c r="AO13" s="13">
        <v>8.5575516228761306E-2</v>
      </c>
      <c r="AP13" s="13">
        <v>9.4889234162117239E-2</v>
      </c>
      <c r="AQ13" s="13">
        <v>0.16413334151794859</v>
      </c>
      <c r="AR13" s="13">
        <v>9.0268335746978026E-2</v>
      </c>
      <c r="AS13" s="13">
        <v>0.15669965383697587</v>
      </c>
      <c r="AT13" s="13">
        <v>0.197390332681039</v>
      </c>
      <c r="AU13" s="13">
        <v>9.4889234162117239E-2</v>
      </c>
      <c r="AV13" s="13">
        <v>0.13827393585622358</v>
      </c>
      <c r="AW13" s="13">
        <v>7.3657998901271796E-2</v>
      </c>
      <c r="AX13" s="13">
        <v>0.4058035014643257</v>
      </c>
      <c r="AY13" s="14">
        <v>0.14172425612890149</v>
      </c>
      <c r="AZ13" s="24"/>
    </row>
    <row r="14" spans="1:52" ht="15.5" x14ac:dyDescent="0.35">
      <c r="A14" s="79"/>
      <c r="B14" s="29" t="s">
        <v>56</v>
      </c>
      <c r="C14" s="12">
        <v>0.35548816409173567</v>
      </c>
      <c r="D14" s="13">
        <v>0.44345868229221108</v>
      </c>
      <c r="E14" s="13">
        <v>0.33463546269083611</v>
      </c>
      <c r="F14" s="13">
        <v>0.35548816409173567</v>
      </c>
      <c r="G14" s="13">
        <v>0.30181997187596121</v>
      </c>
      <c r="H14" s="13">
        <v>0.36154640327190918</v>
      </c>
      <c r="I14" s="13">
        <v>0.43090312005804349</v>
      </c>
      <c r="J14" s="13">
        <v>0.30408103860529012</v>
      </c>
      <c r="K14" s="13">
        <v>0.44683086926656512</v>
      </c>
      <c r="L14" s="13">
        <v>0.41450685217626321</v>
      </c>
      <c r="M14" s="13">
        <v>0.33538608572198286</v>
      </c>
      <c r="N14" s="13">
        <v>0.35548816409173567</v>
      </c>
      <c r="O14" s="13">
        <v>0</v>
      </c>
      <c r="P14" s="13">
        <v>0.29642314305377349</v>
      </c>
      <c r="Q14" s="13">
        <v>0.36730867494376634</v>
      </c>
      <c r="R14" s="13">
        <v>0.39741886841997393</v>
      </c>
      <c r="S14" s="13">
        <v>0.35707015126114255</v>
      </c>
      <c r="T14" s="13">
        <v>0.36599572193174185</v>
      </c>
      <c r="U14" s="13">
        <v>0.33719024205788833</v>
      </c>
      <c r="V14" s="13">
        <v>0</v>
      </c>
      <c r="W14" s="13">
        <v>0.35548816409173567</v>
      </c>
      <c r="X14" s="13">
        <v>0.37001542152816219</v>
      </c>
      <c r="Y14" s="13">
        <v>0.34270448722196051</v>
      </c>
      <c r="Z14" s="13">
        <v>0.12888986235158964</v>
      </c>
      <c r="AA14" s="13">
        <v>0</v>
      </c>
      <c r="AB14" s="13">
        <v>0.50367557752361769</v>
      </c>
      <c r="AC14" s="13">
        <v>0.35548816409173567</v>
      </c>
      <c r="AD14" s="13">
        <v>0.34274541910140272</v>
      </c>
      <c r="AE14" s="13">
        <v>0.40363375772096516</v>
      </c>
      <c r="AF14" s="13">
        <v>0.41845418247538413</v>
      </c>
      <c r="AG14" s="13">
        <v>0.37727394270863157</v>
      </c>
      <c r="AH14" s="13">
        <v>0.33364214503644907</v>
      </c>
      <c r="AI14" s="13">
        <v>0.34733412831673666</v>
      </c>
      <c r="AJ14" s="13">
        <v>0.23783952327273369</v>
      </c>
      <c r="AK14" s="13">
        <v>0.35548816409173567</v>
      </c>
      <c r="AL14" s="13">
        <v>0.33787745251542345</v>
      </c>
      <c r="AM14" s="13">
        <v>0.37091666550910901</v>
      </c>
      <c r="AN14" s="13">
        <v>0.38797073047227115</v>
      </c>
      <c r="AO14" s="13">
        <v>0.243662772411572</v>
      </c>
      <c r="AP14" s="13">
        <v>0.35548816409173567</v>
      </c>
      <c r="AQ14" s="13">
        <v>0.3281613130447375</v>
      </c>
      <c r="AR14" s="13">
        <v>0.36033885145454042</v>
      </c>
      <c r="AS14" s="13">
        <v>0.26790543442830533</v>
      </c>
      <c r="AT14" s="13">
        <v>6.9357599202728673E-2</v>
      </c>
      <c r="AU14" s="13">
        <v>0.35548816409173567</v>
      </c>
      <c r="AV14" s="13">
        <v>0.3517483644497329</v>
      </c>
      <c r="AW14" s="13">
        <v>0.36545274785137027</v>
      </c>
      <c r="AX14" s="13">
        <v>0</v>
      </c>
      <c r="AY14" s="14">
        <v>4.7803638688195003E-2</v>
      </c>
      <c r="AZ14" s="24"/>
    </row>
    <row r="15" spans="1:52" ht="15.5" x14ac:dyDescent="0.35">
      <c r="A15" s="79"/>
      <c r="B15" s="29" t="s">
        <v>57</v>
      </c>
      <c r="C15" s="12">
        <v>0.31706918137706158</v>
      </c>
      <c r="D15" s="13">
        <v>0.26361002412864853</v>
      </c>
      <c r="E15" s="13">
        <v>0.32974124317740733</v>
      </c>
      <c r="F15" s="13">
        <v>0.31706918137706158</v>
      </c>
      <c r="G15" s="13">
        <v>0.33917690638423309</v>
      </c>
      <c r="H15" s="13">
        <v>0.34958902863931374</v>
      </c>
      <c r="I15" s="13">
        <v>0.3159358199393798</v>
      </c>
      <c r="J15" s="13">
        <v>0.33357488599075785</v>
      </c>
      <c r="K15" s="13">
        <v>0.24863252353679041</v>
      </c>
      <c r="L15" s="13">
        <v>0.30643674436863066</v>
      </c>
      <c r="M15" s="13">
        <v>0.49246543578207153</v>
      </c>
      <c r="N15" s="13">
        <v>0.31706918137706158</v>
      </c>
      <c r="O15" s="13">
        <v>0</v>
      </c>
      <c r="P15" s="13">
        <v>0.4594308375786087</v>
      </c>
      <c r="Q15" s="13">
        <v>0.29662596563108923</v>
      </c>
      <c r="R15" s="13">
        <v>0.29407064762150698</v>
      </c>
      <c r="S15" s="13">
        <v>0.29734686267179211</v>
      </c>
      <c r="T15" s="13">
        <v>0.30608862754046234</v>
      </c>
      <c r="U15" s="13">
        <v>0.30136961611976121</v>
      </c>
      <c r="V15" s="13">
        <v>0</v>
      </c>
      <c r="W15" s="13">
        <v>0.31706918137706158</v>
      </c>
      <c r="X15" s="13">
        <v>0.29458807934357895</v>
      </c>
      <c r="Y15" s="13">
        <v>0.34184153777257298</v>
      </c>
      <c r="Z15" s="13">
        <v>0.24749952143362561</v>
      </c>
      <c r="AA15" s="13">
        <v>1</v>
      </c>
      <c r="AB15" s="13">
        <v>0</v>
      </c>
      <c r="AC15" s="13">
        <v>0.31706918137706158</v>
      </c>
      <c r="AD15" s="13">
        <v>0.35074081078079566</v>
      </c>
      <c r="AE15" s="13">
        <v>0.32035278354425822</v>
      </c>
      <c r="AF15" s="13">
        <v>0.25484271549746773</v>
      </c>
      <c r="AG15" s="13">
        <v>0.26145478249387255</v>
      </c>
      <c r="AH15" s="13">
        <v>0.34403611215859597</v>
      </c>
      <c r="AI15" s="13">
        <v>0.32709235702556666</v>
      </c>
      <c r="AJ15" s="13">
        <v>0.39798112020387377</v>
      </c>
      <c r="AK15" s="13">
        <v>0.31706918137706158</v>
      </c>
      <c r="AL15" s="13">
        <v>0.31688466732144521</v>
      </c>
      <c r="AM15" s="13">
        <v>0.32784937958513427</v>
      </c>
      <c r="AN15" s="13">
        <v>0.2934141552330865</v>
      </c>
      <c r="AO15" s="13">
        <v>0.36898108883628794</v>
      </c>
      <c r="AP15" s="13">
        <v>0.31706918137706158</v>
      </c>
      <c r="AQ15" s="13">
        <v>0.35882290663046201</v>
      </c>
      <c r="AR15" s="13">
        <v>0.31449807150344872</v>
      </c>
      <c r="AS15" s="13">
        <v>0.27423161227360526</v>
      </c>
      <c r="AT15" s="13">
        <v>0.43469172344960194</v>
      </c>
      <c r="AU15" s="13">
        <v>0.31706918137706158</v>
      </c>
      <c r="AV15" s="13">
        <v>0.30478145534945605</v>
      </c>
      <c r="AW15" s="13">
        <v>0.32147995396161072</v>
      </c>
      <c r="AX15" s="13">
        <v>0.32855334944746745</v>
      </c>
      <c r="AY15" s="14">
        <v>0.35974539591109561</v>
      </c>
      <c r="AZ15" s="24"/>
    </row>
    <row r="16" spans="1:52" ht="15.5" x14ac:dyDescent="0.35">
      <c r="A16" s="79"/>
      <c r="B16" s="29" t="s">
        <v>58</v>
      </c>
      <c r="C16" s="12">
        <v>8.805311482951407E-2</v>
      </c>
      <c r="D16" s="13">
        <v>8.8832136017512192E-2</v>
      </c>
      <c r="E16" s="13">
        <v>8.7868454143745695E-2</v>
      </c>
      <c r="F16" s="13">
        <v>8.805311482951407E-2</v>
      </c>
      <c r="G16" s="13">
        <v>0.11139804493645096</v>
      </c>
      <c r="H16" s="13">
        <v>7.1981367310216759E-2</v>
      </c>
      <c r="I16" s="13">
        <v>9.9963829582095265E-2</v>
      </c>
      <c r="J16" s="13">
        <v>0.11757062138703063</v>
      </c>
      <c r="K16" s="13">
        <v>3.4604683769848904E-2</v>
      </c>
      <c r="L16" s="13">
        <v>5.1978022798724967E-2</v>
      </c>
      <c r="M16" s="13">
        <v>0</v>
      </c>
      <c r="N16" s="13">
        <v>8.805311482951407E-2</v>
      </c>
      <c r="O16" s="13">
        <v>0</v>
      </c>
      <c r="P16" s="13">
        <v>9.0624717673907049E-2</v>
      </c>
      <c r="Q16" s="13">
        <v>8.4330268378469853E-2</v>
      </c>
      <c r="R16" s="13">
        <v>5.9475094968273315E-2</v>
      </c>
      <c r="S16" s="13">
        <v>8.784435852853624E-2</v>
      </c>
      <c r="T16" s="13">
        <v>0.11353539024948654</v>
      </c>
      <c r="U16" s="13">
        <v>8.6685614045025297E-2</v>
      </c>
      <c r="V16" s="13">
        <v>0</v>
      </c>
      <c r="W16" s="13">
        <v>8.805311482951407E-2</v>
      </c>
      <c r="X16" s="13">
        <v>8.8920809454598432E-2</v>
      </c>
      <c r="Y16" s="13">
        <v>8.8545989695912986E-2</v>
      </c>
      <c r="Z16" s="13">
        <v>0</v>
      </c>
      <c r="AA16" s="13">
        <v>0</v>
      </c>
      <c r="AB16" s="13">
        <v>0</v>
      </c>
      <c r="AC16" s="13">
        <v>8.805311482951407E-2</v>
      </c>
      <c r="AD16" s="13">
        <v>6.9442665996807595E-2</v>
      </c>
      <c r="AE16" s="13">
        <v>3.5651319662451303E-2</v>
      </c>
      <c r="AF16" s="13">
        <v>6.3196453804312339E-2</v>
      </c>
      <c r="AG16" s="13">
        <v>0.10331507178502872</v>
      </c>
      <c r="AH16" s="13">
        <v>0.11594632435098004</v>
      </c>
      <c r="AI16" s="13">
        <v>0.10948285392439479</v>
      </c>
      <c r="AJ16" s="13">
        <v>7.5567087144206929E-2</v>
      </c>
      <c r="AK16" s="13">
        <v>8.805311482951407E-2</v>
      </c>
      <c r="AL16" s="13">
        <v>0.10749302201442128</v>
      </c>
      <c r="AM16" s="13">
        <v>7.219003235740501E-2</v>
      </c>
      <c r="AN16" s="13">
        <v>8.4427571528778944E-2</v>
      </c>
      <c r="AO16" s="13">
        <v>9.0383320460166311E-2</v>
      </c>
      <c r="AP16" s="13">
        <v>8.805311482951407E-2</v>
      </c>
      <c r="AQ16" s="13">
        <v>4.8863822691035043E-2</v>
      </c>
      <c r="AR16" s="13">
        <v>8.9182463089633332E-2</v>
      </c>
      <c r="AS16" s="13">
        <v>0.15712936488454382</v>
      </c>
      <c r="AT16" s="13">
        <v>7.984685912838145E-2</v>
      </c>
      <c r="AU16" s="13">
        <v>8.805311482951407E-2</v>
      </c>
      <c r="AV16" s="13">
        <v>8.9610091426178401E-2</v>
      </c>
      <c r="AW16" s="13">
        <v>8.5364801485591973E-2</v>
      </c>
      <c r="AX16" s="13">
        <v>0</v>
      </c>
      <c r="AY16" s="14">
        <v>0.18137527024128186</v>
      </c>
      <c r="AZ16" s="24"/>
    </row>
    <row r="17" spans="1:52" ht="15.5" x14ac:dyDescent="0.35">
      <c r="A17" s="78"/>
      <c r="B17" s="30" t="s">
        <v>53</v>
      </c>
      <c r="C17" s="15">
        <v>0.14450030553957277</v>
      </c>
      <c r="D17" s="16">
        <v>2.8299835629702442E-2</v>
      </c>
      <c r="E17" s="16">
        <v>0.17204468917219817</v>
      </c>
      <c r="F17" s="16">
        <v>0.14450030553957277</v>
      </c>
      <c r="G17" s="16">
        <v>0.19227718899456384</v>
      </c>
      <c r="H17" s="16">
        <v>0.11541686025569517</v>
      </c>
      <c r="I17" s="16">
        <v>0.10135412329432535</v>
      </c>
      <c r="J17" s="16">
        <v>0.1386726189535247</v>
      </c>
      <c r="K17" s="16">
        <v>0.15730527073989342</v>
      </c>
      <c r="L17" s="16">
        <v>0.12541616753097831</v>
      </c>
      <c r="M17" s="16">
        <v>0.17214847849594581</v>
      </c>
      <c r="N17" s="16">
        <v>0.14450030553957277</v>
      </c>
      <c r="O17" s="16">
        <v>0</v>
      </c>
      <c r="P17" s="16">
        <v>8.9716132694013614E-2</v>
      </c>
      <c r="Q17" s="16">
        <v>0.1131531701813039</v>
      </c>
      <c r="R17" s="16">
        <v>0.13571690491378194</v>
      </c>
      <c r="S17" s="16">
        <v>0.13223946283045185</v>
      </c>
      <c r="T17" s="16">
        <v>0.13732212207922634</v>
      </c>
      <c r="U17" s="16">
        <v>0.2197556160052718</v>
      </c>
      <c r="V17" s="16">
        <v>0</v>
      </c>
      <c r="W17" s="16">
        <v>0.14450030553957277</v>
      </c>
      <c r="X17" s="16">
        <v>0.13778006670764217</v>
      </c>
      <c r="Y17" s="16">
        <v>0.14527088112572539</v>
      </c>
      <c r="Z17" s="16">
        <v>0.62361061621478486</v>
      </c>
      <c r="AA17" s="16">
        <v>0</v>
      </c>
      <c r="AB17" s="16">
        <v>0.49632442247638231</v>
      </c>
      <c r="AC17" s="16">
        <v>0.14450030553957277</v>
      </c>
      <c r="AD17" s="16">
        <v>0.13896335094965309</v>
      </c>
      <c r="AE17" s="16">
        <v>0.15683216703837913</v>
      </c>
      <c r="AF17" s="16">
        <v>0.15538304266287584</v>
      </c>
      <c r="AG17" s="16">
        <v>0.1506899289553513</v>
      </c>
      <c r="AH17" s="16">
        <v>0.11261196333161934</v>
      </c>
      <c r="AI17" s="16">
        <v>0.130966873677823</v>
      </c>
      <c r="AJ17" s="16">
        <v>0.20635232920695451</v>
      </c>
      <c r="AK17" s="16">
        <v>0.14450030553957277</v>
      </c>
      <c r="AL17" s="16">
        <v>0.1821872712154344</v>
      </c>
      <c r="AM17" s="16">
        <v>0.12601289731372353</v>
      </c>
      <c r="AN17" s="16">
        <v>0.10946281593944857</v>
      </c>
      <c r="AO17" s="16">
        <v>0.21139730206321208</v>
      </c>
      <c r="AP17" s="16">
        <v>0.14450030553957277</v>
      </c>
      <c r="AQ17" s="16">
        <v>0.10001861611581692</v>
      </c>
      <c r="AR17" s="16">
        <v>0.14571227820540109</v>
      </c>
      <c r="AS17" s="16">
        <v>0.14403393457656974</v>
      </c>
      <c r="AT17" s="16">
        <v>0.21871348553824876</v>
      </c>
      <c r="AU17" s="16">
        <v>0.14450030553957277</v>
      </c>
      <c r="AV17" s="16">
        <v>0.11558615291840763</v>
      </c>
      <c r="AW17" s="16">
        <v>0.15404449780015497</v>
      </c>
      <c r="AX17" s="16">
        <v>0.2656431490882068</v>
      </c>
      <c r="AY17" s="17">
        <v>0.26935143903052583</v>
      </c>
      <c r="AZ17" s="24"/>
    </row>
    <row r="18" spans="1:52" ht="15.5" x14ac:dyDescent="0.35">
      <c r="A18" s="1"/>
      <c r="B18" s="4" t="s">
        <v>77</v>
      </c>
      <c r="C18" s="6">
        <f>C13+C14</f>
        <v>0.45037739825385292</v>
      </c>
      <c r="D18" s="6">
        <f t="shared" ref="D18:AY18" si="2">D13+D14</f>
        <v>0.61925800422413724</v>
      </c>
      <c r="E18" s="6">
        <f t="shared" si="2"/>
        <v>0.41034561350665011</v>
      </c>
      <c r="F18" s="6">
        <f t="shared" si="2"/>
        <v>0.45037739825385292</v>
      </c>
      <c r="G18" s="6">
        <f t="shared" si="2"/>
        <v>0.35714785968475327</v>
      </c>
      <c r="H18" s="6">
        <f t="shared" si="2"/>
        <v>0.46301274379477364</v>
      </c>
      <c r="I18" s="6">
        <f t="shared" si="2"/>
        <v>0.48274622718419918</v>
      </c>
      <c r="J18" s="6">
        <f t="shared" si="2"/>
        <v>0.41018187366868292</v>
      </c>
      <c r="K18" s="6">
        <f t="shared" si="2"/>
        <v>0.55945752195346843</v>
      </c>
      <c r="L18" s="6">
        <f t="shared" si="2"/>
        <v>0.51616906530166506</v>
      </c>
      <c r="M18" s="6">
        <f t="shared" si="2"/>
        <v>0.33538608572198286</v>
      </c>
      <c r="N18" s="6">
        <f t="shared" si="2"/>
        <v>0.45037739825385292</v>
      </c>
      <c r="O18" s="6">
        <f t="shared" si="2"/>
        <v>0</v>
      </c>
      <c r="P18" s="6">
        <f t="shared" si="2"/>
        <v>0.36022831205347111</v>
      </c>
      <c r="Q18" s="6">
        <f t="shared" si="2"/>
        <v>0.50589059580913864</v>
      </c>
      <c r="R18" s="6">
        <f t="shared" si="2"/>
        <v>0.51073735249643837</v>
      </c>
      <c r="S18" s="6">
        <f t="shared" si="2"/>
        <v>0.48256931596922126</v>
      </c>
      <c r="T18" s="6">
        <f t="shared" si="2"/>
        <v>0.44305386013082637</v>
      </c>
      <c r="U18" s="6">
        <f t="shared" si="2"/>
        <v>0.39218915382994207</v>
      </c>
      <c r="V18" s="6">
        <f t="shared" si="2"/>
        <v>0</v>
      </c>
      <c r="W18" s="6">
        <f t="shared" si="2"/>
        <v>0.45037739825385292</v>
      </c>
      <c r="X18" s="6">
        <f t="shared" si="2"/>
        <v>0.47871104449417967</v>
      </c>
      <c r="Y18" s="6">
        <f t="shared" si="2"/>
        <v>0.4243415914057882</v>
      </c>
      <c r="Z18" s="6">
        <f t="shared" si="2"/>
        <v>0.12888986235158964</v>
      </c>
      <c r="AA18" s="6">
        <f t="shared" si="2"/>
        <v>0</v>
      </c>
      <c r="AB18" s="6">
        <f t="shared" si="2"/>
        <v>0.50367557752361769</v>
      </c>
      <c r="AC18" s="6">
        <f t="shared" si="2"/>
        <v>0.45037739825385292</v>
      </c>
      <c r="AD18" s="6">
        <f t="shared" si="2"/>
        <v>0.4408531722727434</v>
      </c>
      <c r="AE18" s="6">
        <f t="shared" si="2"/>
        <v>0.4871637297549129</v>
      </c>
      <c r="AF18" s="6">
        <f t="shared" si="2"/>
        <v>0.52657778803534561</v>
      </c>
      <c r="AG18" s="6">
        <f t="shared" si="2"/>
        <v>0.48454021676574943</v>
      </c>
      <c r="AH18" s="6">
        <f t="shared" si="2"/>
        <v>0.42740560015880447</v>
      </c>
      <c r="AI18" s="6">
        <f t="shared" si="2"/>
        <v>0.43245791537221723</v>
      </c>
      <c r="AJ18" s="6">
        <f t="shared" si="2"/>
        <v>0.32009946344496532</v>
      </c>
      <c r="AK18" s="6">
        <f t="shared" si="2"/>
        <v>0.45037739825385292</v>
      </c>
      <c r="AL18" s="6">
        <f t="shared" si="2"/>
        <v>0.39343503944869712</v>
      </c>
      <c r="AM18" s="6">
        <f t="shared" si="2"/>
        <v>0.47394769074373616</v>
      </c>
      <c r="AN18" s="6">
        <f t="shared" si="2"/>
        <v>0.51269545729868404</v>
      </c>
      <c r="AO18" s="6">
        <f t="shared" si="2"/>
        <v>0.32923828864033333</v>
      </c>
      <c r="AP18" s="6">
        <f t="shared" si="2"/>
        <v>0.45037739825385292</v>
      </c>
      <c r="AQ18" s="6">
        <f t="shared" si="2"/>
        <v>0.49229465456268606</v>
      </c>
      <c r="AR18" s="6">
        <f t="shared" si="2"/>
        <v>0.45060718720151843</v>
      </c>
      <c r="AS18" s="6">
        <f t="shared" si="2"/>
        <v>0.42460508826528121</v>
      </c>
      <c r="AT18" s="6">
        <f t="shared" si="2"/>
        <v>0.26674793188376766</v>
      </c>
      <c r="AU18" s="6">
        <f t="shared" si="2"/>
        <v>0.45037739825385292</v>
      </c>
      <c r="AV18" s="6">
        <f t="shared" si="2"/>
        <v>0.4900223003059565</v>
      </c>
      <c r="AW18" s="6">
        <f t="shared" si="2"/>
        <v>0.43911074675264206</v>
      </c>
      <c r="AX18" s="6">
        <f t="shared" si="2"/>
        <v>0.4058035014643257</v>
      </c>
      <c r="AY18" s="6">
        <f t="shared" si="2"/>
        <v>0.1895278948170965</v>
      </c>
      <c r="AZ18" s="3"/>
    </row>
    <row r="19" spans="1:52" ht="15.5" x14ac:dyDescent="0.35">
      <c r="A19" s="78" t="s">
        <v>59</v>
      </c>
      <c r="B19" s="29" t="s">
        <v>9</v>
      </c>
      <c r="C19" s="18">
        <v>1508.9999999999966</v>
      </c>
      <c r="D19" s="19">
        <v>289.15452537814735</v>
      </c>
      <c r="E19" s="19">
        <v>1219.8454746218497</v>
      </c>
      <c r="F19" s="19">
        <v>1508.9999999999966</v>
      </c>
      <c r="G19" s="19">
        <v>217.10187032774749</v>
      </c>
      <c r="H19" s="19">
        <v>170.14022138797336</v>
      </c>
      <c r="I19" s="19">
        <v>99.50617268940519</v>
      </c>
      <c r="J19" s="19">
        <v>600.02363563550159</v>
      </c>
      <c r="K19" s="19">
        <v>309.22625340176961</v>
      </c>
      <c r="L19" s="19">
        <v>100.9590944150543</v>
      </c>
      <c r="M19" s="19">
        <v>12.042752142547947</v>
      </c>
      <c r="N19" s="19">
        <v>1508.9999999999966</v>
      </c>
      <c r="O19" s="19">
        <v>0</v>
      </c>
      <c r="P19" s="19">
        <v>165.72712525171042</v>
      </c>
      <c r="Q19" s="19">
        <v>253.99671888955297</v>
      </c>
      <c r="R19" s="19">
        <v>220.55949557516684</v>
      </c>
      <c r="S19" s="19">
        <v>259.69059765071711</v>
      </c>
      <c r="T19" s="19">
        <v>287.13892027318246</v>
      </c>
      <c r="U19" s="19">
        <v>321.88714235966711</v>
      </c>
      <c r="V19" s="19">
        <v>0</v>
      </c>
      <c r="W19" s="19">
        <v>1508.9999999999966</v>
      </c>
      <c r="X19" s="19">
        <v>774.27557633601737</v>
      </c>
      <c r="Y19" s="19">
        <v>723.04730579985994</v>
      </c>
      <c r="Z19" s="19">
        <v>8.4950240982306084</v>
      </c>
      <c r="AA19" s="19">
        <v>1.0949224866943801</v>
      </c>
      <c r="AB19" s="19">
        <v>2.0871712791956885</v>
      </c>
      <c r="AC19" s="19">
        <v>1508.9999999999966</v>
      </c>
      <c r="AD19" s="19">
        <v>135.46481381083839</v>
      </c>
      <c r="AE19" s="19">
        <v>174.48332688664624</v>
      </c>
      <c r="AF19" s="19">
        <v>211.86323881561358</v>
      </c>
      <c r="AG19" s="19">
        <v>265.91588300110612</v>
      </c>
      <c r="AH19" s="19">
        <v>335.15014527404264</v>
      </c>
      <c r="AI19" s="19">
        <v>246.04605579212205</v>
      </c>
      <c r="AJ19" s="19">
        <v>140.07653641962801</v>
      </c>
      <c r="AK19" s="19">
        <v>1508.9999999999966</v>
      </c>
      <c r="AL19" s="19">
        <v>435.5898644591008</v>
      </c>
      <c r="AM19" s="19">
        <v>440.33509047047454</v>
      </c>
      <c r="AN19" s="19">
        <v>496.65453480327415</v>
      </c>
      <c r="AO19" s="19">
        <v>136.42051026715041</v>
      </c>
      <c r="AP19" s="19">
        <v>1508.9999999999966</v>
      </c>
      <c r="AQ19" s="19">
        <v>61.893534963944866</v>
      </c>
      <c r="AR19" s="19">
        <v>1419.5369095514054</v>
      </c>
      <c r="AS19" s="19">
        <v>13.569113680015986</v>
      </c>
      <c r="AT19" s="19">
        <v>14.000441804630313</v>
      </c>
      <c r="AU19" s="19">
        <v>1508.9999999999966</v>
      </c>
      <c r="AV19" s="19">
        <v>455.94107038246233</v>
      </c>
      <c r="AW19" s="19">
        <v>1025.8039564160908</v>
      </c>
      <c r="AX19" s="19">
        <v>2.7330074047684709</v>
      </c>
      <c r="AY19" s="20">
        <v>24.521965796677716</v>
      </c>
      <c r="AZ19" s="24"/>
    </row>
    <row r="20" spans="1:52" ht="15.5" x14ac:dyDescent="0.35">
      <c r="A20" s="79"/>
      <c r="B20" s="29" t="s">
        <v>60</v>
      </c>
      <c r="C20" s="12">
        <v>0.40266130764558949</v>
      </c>
      <c r="D20" s="13">
        <v>0.40461075669271707</v>
      </c>
      <c r="E20" s="13">
        <v>0.40219920648138641</v>
      </c>
      <c r="F20" s="13">
        <v>0.40266130764558949</v>
      </c>
      <c r="G20" s="13">
        <v>0.37594889757903721</v>
      </c>
      <c r="H20" s="13">
        <v>0.32953416968433485</v>
      </c>
      <c r="I20" s="13">
        <v>0.35096783103627549</v>
      </c>
      <c r="J20" s="13">
        <v>0.39363109090407505</v>
      </c>
      <c r="K20" s="13">
        <v>0.51815212565529634</v>
      </c>
      <c r="L20" s="13">
        <v>0.31287654226980988</v>
      </c>
      <c r="M20" s="13">
        <v>0.58161880361301865</v>
      </c>
      <c r="N20" s="13">
        <v>0.40266130764558949</v>
      </c>
      <c r="O20" s="13">
        <v>0</v>
      </c>
      <c r="P20" s="13">
        <v>0.26286062827779555</v>
      </c>
      <c r="Q20" s="13">
        <v>0.37391894303164441</v>
      </c>
      <c r="R20" s="13">
        <v>0.46233839322561082</v>
      </c>
      <c r="S20" s="13">
        <v>0.38829809811666061</v>
      </c>
      <c r="T20" s="13">
        <v>0.42678425217094573</v>
      </c>
      <c r="U20" s="13">
        <v>0.4464972845364189</v>
      </c>
      <c r="V20" s="13">
        <v>0</v>
      </c>
      <c r="W20" s="13">
        <v>0.40266130764558949</v>
      </c>
      <c r="X20" s="13">
        <v>0.39447673559891278</v>
      </c>
      <c r="Y20" s="13">
        <v>0.41504205567714941</v>
      </c>
      <c r="Z20" s="13">
        <v>0.12194363050386851</v>
      </c>
      <c r="AA20" s="13">
        <v>0</v>
      </c>
      <c r="AB20" s="13">
        <v>0.50367557752361769</v>
      </c>
      <c r="AC20" s="13">
        <v>0.40266130764558949</v>
      </c>
      <c r="AD20" s="13">
        <v>0.2747899479216071</v>
      </c>
      <c r="AE20" s="13">
        <v>0.40965386871517123</v>
      </c>
      <c r="AF20" s="13">
        <v>0.44621869099658584</v>
      </c>
      <c r="AG20" s="13">
        <v>0.38334271854393109</v>
      </c>
      <c r="AH20" s="13">
        <v>0.45289080284882599</v>
      </c>
      <c r="AI20" s="13">
        <v>0.41817337594321918</v>
      </c>
      <c r="AJ20" s="13">
        <v>0.34097924388984441</v>
      </c>
      <c r="AK20" s="13">
        <v>0.40266130764558949</v>
      </c>
      <c r="AL20" s="13">
        <v>0.36522852419612262</v>
      </c>
      <c r="AM20" s="13">
        <v>0.44727734575411177</v>
      </c>
      <c r="AN20" s="13">
        <v>0.40790877404040621</v>
      </c>
      <c r="AO20" s="13">
        <v>0.35906929880879412</v>
      </c>
      <c r="AP20" s="13">
        <v>0.40266130764558949</v>
      </c>
      <c r="AQ20" s="13">
        <v>0.38971008845658955</v>
      </c>
      <c r="AR20" s="13">
        <v>0.40539693757234019</v>
      </c>
      <c r="AS20" s="13">
        <v>0.40500179829138566</v>
      </c>
      <c r="AT20" s="13">
        <v>0.18027623285417693</v>
      </c>
      <c r="AU20" s="13">
        <v>0.40266130764558949</v>
      </c>
      <c r="AV20" s="13">
        <v>0.40234736095207013</v>
      </c>
      <c r="AW20" s="13">
        <v>0.40390453839079804</v>
      </c>
      <c r="AX20" s="13">
        <v>0.32855334944746745</v>
      </c>
      <c r="AY20" s="14">
        <v>0.36475112398054138</v>
      </c>
      <c r="AZ20" s="24"/>
    </row>
    <row r="21" spans="1:52" ht="15.5" x14ac:dyDescent="0.35">
      <c r="A21" s="79"/>
      <c r="B21" s="29" t="s">
        <v>61</v>
      </c>
      <c r="C21" s="12">
        <v>0.47032590193192575</v>
      </c>
      <c r="D21" s="13">
        <v>0.46115364316553831</v>
      </c>
      <c r="E21" s="13">
        <v>0.47250011185065605</v>
      </c>
      <c r="F21" s="13">
        <v>0.47032590193192575</v>
      </c>
      <c r="G21" s="13">
        <v>0.46424546297084363</v>
      </c>
      <c r="H21" s="13">
        <v>0.52978247776082643</v>
      </c>
      <c r="I21" s="13">
        <v>0.53493860762593415</v>
      </c>
      <c r="J21" s="13">
        <v>0.47281868795579007</v>
      </c>
      <c r="K21" s="13">
        <v>0.38122866131696403</v>
      </c>
      <c r="L21" s="13">
        <v>0.58379551352971848</v>
      </c>
      <c r="M21" s="13">
        <v>0.41838119638698162</v>
      </c>
      <c r="N21" s="13">
        <v>0.47032590193192575</v>
      </c>
      <c r="O21" s="13">
        <v>0</v>
      </c>
      <c r="P21" s="13">
        <v>0.46703440993572209</v>
      </c>
      <c r="Q21" s="13">
        <v>0.49257671975555745</v>
      </c>
      <c r="R21" s="13">
        <v>0.45227369397073736</v>
      </c>
      <c r="S21" s="13">
        <v>0.50692776990293087</v>
      </c>
      <c r="T21" s="13">
        <v>0.46364275813849665</v>
      </c>
      <c r="U21" s="13">
        <v>0.44326446187767243</v>
      </c>
      <c r="V21" s="13">
        <v>0</v>
      </c>
      <c r="W21" s="13">
        <v>0.47032590193192575</v>
      </c>
      <c r="X21" s="13">
        <v>0.46907526384843429</v>
      </c>
      <c r="Y21" s="13">
        <v>0.46902624686135541</v>
      </c>
      <c r="Z21" s="13">
        <v>0.7491665071445418</v>
      </c>
      <c r="AA21" s="13">
        <v>0</v>
      </c>
      <c r="AB21" s="13">
        <v>0.49632442247638231</v>
      </c>
      <c r="AC21" s="13">
        <v>0.47032590193192575</v>
      </c>
      <c r="AD21" s="13">
        <v>0.50140837012121586</v>
      </c>
      <c r="AE21" s="13">
        <v>0.45039047701649337</v>
      </c>
      <c r="AF21" s="13">
        <v>0.42054942586811189</v>
      </c>
      <c r="AG21" s="13">
        <v>0.51035024574549126</v>
      </c>
      <c r="AH21" s="13">
        <v>0.45440207249590892</v>
      </c>
      <c r="AI21" s="13">
        <v>0.4727892507755791</v>
      </c>
      <c r="AJ21" s="13">
        <v>0.4981770452181627</v>
      </c>
      <c r="AK21" s="13">
        <v>0.47032590193192575</v>
      </c>
      <c r="AL21" s="13">
        <v>0.51424898047936884</v>
      </c>
      <c r="AM21" s="13">
        <v>0.44672826068090216</v>
      </c>
      <c r="AN21" s="13">
        <v>0.46905886374326428</v>
      </c>
      <c r="AO21" s="13">
        <v>0.41086051760008407</v>
      </c>
      <c r="AP21" s="13">
        <v>0.47032590193192575</v>
      </c>
      <c r="AQ21" s="13">
        <v>0.49300116681970885</v>
      </c>
      <c r="AR21" s="13">
        <v>0.47133217436442143</v>
      </c>
      <c r="AS21" s="13">
        <v>0.26560399253906908</v>
      </c>
      <c r="AT21" s="13">
        <v>0.46646900237460343</v>
      </c>
      <c r="AU21" s="13">
        <v>0.47032590193192575</v>
      </c>
      <c r="AV21" s="13">
        <v>0.43504423398765257</v>
      </c>
      <c r="AW21" s="13">
        <v>0.48613616619327515</v>
      </c>
      <c r="AX21" s="13">
        <v>0.67144665055253261</v>
      </c>
      <c r="AY21" s="14">
        <v>0.44253307794832336</v>
      </c>
      <c r="AZ21" s="24"/>
    </row>
    <row r="22" spans="1:52" ht="15.5" x14ac:dyDescent="0.35">
      <c r="A22" s="79"/>
      <c r="B22" s="29" t="s">
        <v>62</v>
      </c>
      <c r="C22" s="12">
        <v>8.7315139754866419E-2</v>
      </c>
      <c r="D22" s="13">
        <v>0.10608270843872958</v>
      </c>
      <c r="E22" s="13">
        <v>8.2866439056143465E-2</v>
      </c>
      <c r="F22" s="13">
        <v>8.7315139754866419E-2</v>
      </c>
      <c r="G22" s="13">
        <v>9.9372299646807341E-2</v>
      </c>
      <c r="H22" s="13">
        <v>0.11675981722505278</v>
      </c>
      <c r="I22" s="13">
        <v>9.0962167860026991E-2</v>
      </c>
      <c r="J22" s="13">
        <v>0.10064296552522328</v>
      </c>
      <c r="K22" s="13">
        <v>4.6413380633629965E-2</v>
      </c>
      <c r="L22" s="13">
        <v>6.4653923492658319E-2</v>
      </c>
      <c r="M22" s="13">
        <v>0</v>
      </c>
      <c r="N22" s="13">
        <v>8.7315139754866419E-2</v>
      </c>
      <c r="O22" s="13">
        <v>0</v>
      </c>
      <c r="P22" s="13">
        <v>0.19370929597882255</v>
      </c>
      <c r="Q22" s="13">
        <v>9.5382656065325783E-2</v>
      </c>
      <c r="R22" s="13">
        <v>5.5184658617110867E-2</v>
      </c>
      <c r="S22" s="13">
        <v>7.1773006374542633E-2</v>
      </c>
      <c r="T22" s="13">
        <v>7.9040138110961958E-2</v>
      </c>
      <c r="U22" s="13">
        <v>6.8107734868248407E-2</v>
      </c>
      <c r="V22" s="13">
        <v>0</v>
      </c>
      <c r="W22" s="13">
        <v>8.7315139754866419E-2</v>
      </c>
      <c r="X22" s="13">
        <v>9.377066858774874E-2</v>
      </c>
      <c r="Y22" s="13">
        <v>8.1812361309419213E-2</v>
      </c>
      <c r="Z22" s="13">
        <v>0</v>
      </c>
      <c r="AA22" s="13">
        <v>0</v>
      </c>
      <c r="AB22" s="13">
        <v>0</v>
      </c>
      <c r="AC22" s="13">
        <v>8.7315139754866419E-2</v>
      </c>
      <c r="AD22" s="13">
        <v>0.16977836627703372</v>
      </c>
      <c r="AE22" s="13">
        <v>6.7203920766775796E-2</v>
      </c>
      <c r="AF22" s="13">
        <v>9.6646985080495101E-2</v>
      </c>
      <c r="AG22" s="13">
        <v>7.3267908140591781E-2</v>
      </c>
      <c r="AH22" s="13">
        <v>7.1912678199611696E-2</v>
      </c>
      <c r="AI22" s="13">
        <v>7.5262919843938472E-2</v>
      </c>
      <c r="AJ22" s="13">
        <v>0.10319254685408444</v>
      </c>
      <c r="AK22" s="13">
        <v>8.7315139754866419E-2</v>
      </c>
      <c r="AL22" s="13">
        <v>9.0157189010738228E-2</v>
      </c>
      <c r="AM22" s="13">
        <v>8.4442838744572091E-2</v>
      </c>
      <c r="AN22" s="13">
        <v>8.0382051540478283E-2</v>
      </c>
      <c r="AO22" s="13">
        <v>0.11275234688850196</v>
      </c>
      <c r="AP22" s="13">
        <v>8.7315139754866419E-2</v>
      </c>
      <c r="AQ22" s="13">
        <v>6.6981964565226107E-2</v>
      </c>
      <c r="AR22" s="13">
        <v>8.7889288530625401E-2</v>
      </c>
      <c r="AS22" s="13">
        <v>7.3582195893783536E-2</v>
      </c>
      <c r="AT22" s="13">
        <v>0.13230019065293588</v>
      </c>
      <c r="AU22" s="13">
        <v>8.7315139754866419E-2</v>
      </c>
      <c r="AV22" s="13">
        <v>0.10905869789312059</v>
      </c>
      <c r="AW22" s="13">
        <v>7.8164979591562864E-2</v>
      </c>
      <c r="AX22" s="13">
        <v>0</v>
      </c>
      <c r="AY22" s="14">
        <v>7.5534773000493785E-2</v>
      </c>
      <c r="AZ22" s="24"/>
    </row>
    <row r="23" spans="1:52" ht="15.5" x14ac:dyDescent="0.35">
      <c r="A23" s="79"/>
      <c r="B23" s="29" t="s">
        <v>63</v>
      </c>
      <c r="C23" s="12">
        <v>1.0745005794792201E-2</v>
      </c>
      <c r="D23" s="13">
        <v>9.0906996219438166E-3</v>
      </c>
      <c r="E23" s="13">
        <v>1.1137145722505914E-2</v>
      </c>
      <c r="F23" s="13">
        <v>1.0745005794792201E-2</v>
      </c>
      <c r="G23" s="13">
        <v>2.7032927759034632E-2</v>
      </c>
      <c r="H23" s="13">
        <v>0</v>
      </c>
      <c r="I23" s="13">
        <v>0</v>
      </c>
      <c r="J23" s="13">
        <v>1.2476781640111028E-2</v>
      </c>
      <c r="K23" s="13">
        <v>9.2454979331132031E-3</v>
      </c>
      <c r="L23" s="13">
        <v>0</v>
      </c>
      <c r="M23" s="13">
        <v>0</v>
      </c>
      <c r="N23" s="13">
        <v>1.0745005794792201E-2</v>
      </c>
      <c r="O23" s="13">
        <v>0</v>
      </c>
      <c r="P23" s="13">
        <v>3.0745191523012267E-2</v>
      </c>
      <c r="Q23" s="13">
        <v>1.363728196768813E-2</v>
      </c>
      <c r="R23" s="13">
        <v>0</v>
      </c>
      <c r="S23" s="13">
        <v>6.805782606719225E-3</v>
      </c>
      <c r="T23" s="13">
        <v>0</v>
      </c>
      <c r="U23" s="13">
        <v>1.829112796421169E-2</v>
      </c>
      <c r="V23" s="13">
        <v>0</v>
      </c>
      <c r="W23" s="13">
        <v>1.0745005794792201E-2</v>
      </c>
      <c r="X23" s="13">
        <v>1.1509328590189471E-2</v>
      </c>
      <c r="Y23" s="13">
        <v>8.5857442250892139E-3</v>
      </c>
      <c r="Z23" s="13">
        <v>0.12888986235158964</v>
      </c>
      <c r="AA23" s="13">
        <v>0</v>
      </c>
      <c r="AB23" s="13">
        <v>0</v>
      </c>
      <c r="AC23" s="13">
        <v>1.0745005794792201E-2</v>
      </c>
      <c r="AD23" s="13">
        <v>1.5282034290179906E-2</v>
      </c>
      <c r="AE23" s="13">
        <v>3.0322485298436418E-2</v>
      </c>
      <c r="AF23" s="13">
        <v>1.0767810310107978E-2</v>
      </c>
      <c r="AG23" s="13">
        <v>1.275904936564257E-2</v>
      </c>
      <c r="AH23" s="13">
        <v>0</v>
      </c>
      <c r="AI23" s="13">
        <v>1.2920876314894103E-2</v>
      </c>
      <c r="AJ23" s="13">
        <v>0</v>
      </c>
      <c r="AK23" s="13">
        <v>1.0745005794792201E-2</v>
      </c>
      <c r="AL23" s="13">
        <v>7.3037736582111422E-3</v>
      </c>
      <c r="AM23" s="13">
        <v>7.4653287378601265E-3</v>
      </c>
      <c r="AN23" s="13">
        <v>1.274939887556986E-2</v>
      </c>
      <c r="AO23" s="13">
        <v>2.5021684694564589E-2</v>
      </c>
      <c r="AP23" s="13">
        <v>1.0745005794792201E-2</v>
      </c>
      <c r="AQ23" s="13">
        <v>3.1738072539515799E-2</v>
      </c>
      <c r="AR23" s="13">
        <v>1.0038366840656376E-2</v>
      </c>
      <c r="AS23" s="13">
        <v>0</v>
      </c>
      <c r="AT23" s="13">
        <v>0</v>
      </c>
      <c r="AU23" s="13">
        <v>1.0745005794792201E-2</v>
      </c>
      <c r="AV23" s="13">
        <v>2.1898535400219868E-2</v>
      </c>
      <c r="AW23" s="13">
        <v>5.1977118082909548E-3</v>
      </c>
      <c r="AX23" s="13">
        <v>0</v>
      </c>
      <c r="AY23" s="14">
        <v>3.6617730582719679E-2</v>
      </c>
      <c r="AZ23" s="24"/>
    </row>
    <row r="24" spans="1:52" ht="15.5" x14ac:dyDescent="0.35">
      <c r="A24" s="79"/>
      <c r="B24" s="29" t="s">
        <v>64</v>
      </c>
      <c r="C24" s="12">
        <v>9.0165508840257466E-3</v>
      </c>
      <c r="D24" s="13">
        <v>6.1568307550698871E-3</v>
      </c>
      <c r="E24" s="13">
        <v>9.6944244621188259E-3</v>
      </c>
      <c r="F24" s="13">
        <v>9.0165508840257466E-3</v>
      </c>
      <c r="G24" s="13">
        <v>1.3990547835219733E-2</v>
      </c>
      <c r="H24" s="13">
        <v>1.8567727806969411E-2</v>
      </c>
      <c r="I24" s="13">
        <v>0</v>
      </c>
      <c r="J24" s="13">
        <v>7.1086360379773519E-3</v>
      </c>
      <c r="K24" s="13">
        <v>7.322961341150399E-3</v>
      </c>
      <c r="L24" s="13">
        <v>8.7132548896117091E-3</v>
      </c>
      <c r="M24" s="13">
        <v>0</v>
      </c>
      <c r="N24" s="13">
        <v>9.0165508840257466E-3</v>
      </c>
      <c r="O24" s="13">
        <v>0</v>
      </c>
      <c r="P24" s="13">
        <v>1.2921715997012535E-2</v>
      </c>
      <c r="Q24" s="13">
        <v>4.5247944905505129E-3</v>
      </c>
      <c r="R24" s="13">
        <v>1.2291952142640334E-2</v>
      </c>
      <c r="S24" s="13">
        <v>6.5455948206289008E-3</v>
      </c>
      <c r="T24" s="13">
        <v>1.283751201963567E-2</v>
      </c>
      <c r="U24" s="13">
        <v>6.8910113417561744E-3</v>
      </c>
      <c r="V24" s="13">
        <v>0</v>
      </c>
      <c r="W24" s="13">
        <v>9.0165508840257466E-3</v>
      </c>
      <c r="X24" s="13">
        <v>8.8050844023879905E-3</v>
      </c>
      <c r="Y24" s="13">
        <v>9.388615971867853E-3</v>
      </c>
      <c r="Z24" s="13">
        <v>0</v>
      </c>
      <c r="AA24" s="13">
        <v>0</v>
      </c>
      <c r="AB24" s="13">
        <v>0</v>
      </c>
      <c r="AC24" s="13">
        <v>9.0165508840257466E-3</v>
      </c>
      <c r="AD24" s="13">
        <v>2.3899706956144247E-2</v>
      </c>
      <c r="AE24" s="13">
        <v>1.338172141564292E-2</v>
      </c>
      <c r="AF24" s="13">
        <v>8.3167758164532021E-3</v>
      </c>
      <c r="AG24" s="13">
        <v>3.9173518553207382E-3</v>
      </c>
      <c r="AH24" s="13">
        <v>6.3068653393212569E-3</v>
      </c>
      <c r="AI24" s="13">
        <v>8.1570204603484946E-3</v>
      </c>
      <c r="AJ24" s="13">
        <v>7.9175570922209743E-3</v>
      </c>
      <c r="AK24" s="13">
        <v>9.0165508840257466E-3</v>
      </c>
      <c r="AL24" s="13">
        <v>1.8881161786643647E-2</v>
      </c>
      <c r="AM24" s="13">
        <v>2.1553760392424089E-3</v>
      </c>
      <c r="AN24" s="13">
        <v>8.9246036564195799E-3</v>
      </c>
      <c r="AO24" s="13">
        <v>0</v>
      </c>
      <c r="AP24" s="13">
        <v>9.0165508840257466E-3</v>
      </c>
      <c r="AQ24" s="13">
        <v>1.856870761895978E-2</v>
      </c>
      <c r="AR24" s="13">
        <v>7.8689723035269762E-3</v>
      </c>
      <c r="AS24" s="13">
        <v>9.4803222597045989E-2</v>
      </c>
      <c r="AT24" s="13">
        <v>0</v>
      </c>
      <c r="AU24" s="13">
        <v>9.0165508840257466E-3</v>
      </c>
      <c r="AV24" s="13">
        <v>1.1594590107053038E-2</v>
      </c>
      <c r="AW24" s="13">
        <v>8.1102489495220378E-3</v>
      </c>
      <c r="AX24" s="13">
        <v>0</v>
      </c>
      <c r="AY24" s="14">
        <v>0</v>
      </c>
      <c r="AZ24" s="24"/>
    </row>
    <row r="25" spans="1:52" ht="15.5" x14ac:dyDescent="0.35">
      <c r="A25" s="78"/>
      <c r="B25" s="30" t="s">
        <v>53</v>
      </c>
      <c r="C25" s="15">
        <v>1.9936093988801248E-2</v>
      </c>
      <c r="D25" s="16">
        <v>1.2905361326001594E-2</v>
      </c>
      <c r="E25" s="16">
        <v>2.1602672427191306E-2</v>
      </c>
      <c r="F25" s="16">
        <v>1.9936093988801248E-2</v>
      </c>
      <c r="G25" s="16">
        <v>1.9409864209058842E-2</v>
      </c>
      <c r="H25" s="16">
        <v>5.3558075228156247E-3</v>
      </c>
      <c r="I25" s="16">
        <v>2.3131393477763121E-2</v>
      </c>
      <c r="J25" s="16">
        <v>1.332183793681864E-2</v>
      </c>
      <c r="K25" s="16">
        <v>3.7637373119846773E-2</v>
      </c>
      <c r="L25" s="16">
        <v>2.9960765818200882E-2</v>
      </c>
      <c r="M25" s="16">
        <v>0</v>
      </c>
      <c r="N25" s="16">
        <v>1.9936093988801248E-2</v>
      </c>
      <c r="O25" s="16">
        <v>0</v>
      </c>
      <c r="P25" s="16">
        <v>3.2728758287635835E-2</v>
      </c>
      <c r="Q25" s="16">
        <v>1.9959604689235889E-2</v>
      </c>
      <c r="R25" s="16">
        <v>1.7911302043901081E-2</v>
      </c>
      <c r="S25" s="16">
        <v>1.9649748178519267E-2</v>
      </c>
      <c r="T25" s="16">
        <v>1.769533955996138E-2</v>
      </c>
      <c r="U25" s="16">
        <v>1.6948379411691861E-2</v>
      </c>
      <c r="V25" s="16">
        <v>0</v>
      </c>
      <c r="W25" s="16">
        <v>1.9936093988801248E-2</v>
      </c>
      <c r="X25" s="16">
        <v>2.2362918972326552E-2</v>
      </c>
      <c r="Y25" s="16">
        <v>1.6144975955119725E-2</v>
      </c>
      <c r="Z25" s="16">
        <v>0</v>
      </c>
      <c r="AA25" s="16">
        <v>1</v>
      </c>
      <c r="AB25" s="16">
        <v>0</v>
      </c>
      <c r="AC25" s="16">
        <v>1.9936093988801248E-2</v>
      </c>
      <c r="AD25" s="16">
        <v>1.4841574433819085E-2</v>
      </c>
      <c r="AE25" s="16">
        <v>2.9047526787481907E-2</v>
      </c>
      <c r="AF25" s="16">
        <v>1.7500311928247411E-2</v>
      </c>
      <c r="AG25" s="16">
        <v>1.6362726349024276E-2</v>
      </c>
      <c r="AH25" s="16">
        <v>1.44875811163314E-2</v>
      </c>
      <c r="AI25" s="16">
        <v>1.2696556662022421E-2</v>
      </c>
      <c r="AJ25" s="16">
        <v>4.9733606945688319E-2</v>
      </c>
      <c r="AK25" s="16">
        <v>1.9936093988801248E-2</v>
      </c>
      <c r="AL25" s="16">
        <v>4.1803708689127179E-3</v>
      </c>
      <c r="AM25" s="16">
        <v>1.193085004330993E-2</v>
      </c>
      <c r="AN25" s="16">
        <v>2.0976308143859472E-2</v>
      </c>
      <c r="AO25" s="16">
        <v>9.2296152008055063E-2</v>
      </c>
      <c r="AP25" s="16">
        <v>1.9936093988801248E-2</v>
      </c>
      <c r="AQ25" s="16">
        <v>0</v>
      </c>
      <c r="AR25" s="16">
        <v>1.7474260388430883E-2</v>
      </c>
      <c r="AS25" s="16">
        <v>0.16100879067871571</v>
      </c>
      <c r="AT25" s="16">
        <v>0.22095457411828362</v>
      </c>
      <c r="AU25" s="16">
        <v>1.9936093988801248E-2</v>
      </c>
      <c r="AV25" s="16">
        <v>2.0056581659881206E-2</v>
      </c>
      <c r="AW25" s="16">
        <v>1.8486355066551361E-2</v>
      </c>
      <c r="AX25" s="16">
        <v>0</v>
      </c>
      <c r="AY25" s="17">
        <v>8.056329448792153E-2</v>
      </c>
      <c r="AZ25" s="24"/>
    </row>
    <row r="26" spans="1:52" ht="15.5" x14ac:dyDescent="0.35">
      <c r="A26" s="78" t="s">
        <v>65</v>
      </c>
      <c r="B26" s="29" t="s">
        <v>9</v>
      </c>
      <c r="C26" s="18">
        <v>289.15452537814735</v>
      </c>
      <c r="D26" s="19">
        <v>289.15452537814735</v>
      </c>
      <c r="E26" s="19">
        <v>0</v>
      </c>
      <c r="F26" s="19">
        <v>289.15452537814735</v>
      </c>
      <c r="G26" s="19">
        <v>30.212102662412004</v>
      </c>
      <c r="H26" s="19">
        <v>37.959709003017657</v>
      </c>
      <c r="I26" s="19">
        <v>14.03075026002962</v>
      </c>
      <c r="J26" s="19">
        <v>123.72177173838026</v>
      </c>
      <c r="K26" s="19">
        <v>57.464039865887585</v>
      </c>
      <c r="L26" s="19">
        <v>24.010092596405844</v>
      </c>
      <c r="M26" s="19">
        <v>1.7560592520145715</v>
      </c>
      <c r="N26" s="19">
        <v>289.15452537814735</v>
      </c>
      <c r="O26" s="19">
        <v>0</v>
      </c>
      <c r="P26" s="19">
        <v>10.792937489453079</v>
      </c>
      <c r="Q26" s="19">
        <v>56.733706974785548</v>
      </c>
      <c r="R26" s="19">
        <v>86.474778557051607</v>
      </c>
      <c r="S26" s="19">
        <v>101.45511383657649</v>
      </c>
      <c r="T26" s="19">
        <v>21.880287541881032</v>
      </c>
      <c r="U26" s="19">
        <v>11.817700978399701</v>
      </c>
      <c r="V26" s="19">
        <v>0</v>
      </c>
      <c r="W26" s="19">
        <v>289.15452537814735</v>
      </c>
      <c r="X26" s="19">
        <v>156.70147217240265</v>
      </c>
      <c r="Y26" s="19">
        <v>130.30687351961075</v>
      </c>
      <c r="Z26" s="19">
        <v>1.0949224866943801</v>
      </c>
      <c r="AA26" s="19">
        <v>0</v>
      </c>
      <c r="AB26" s="19">
        <v>1.0512571994395963</v>
      </c>
      <c r="AC26" s="19">
        <v>289.15452537814735</v>
      </c>
      <c r="AD26" s="19">
        <v>7.0950026958656949</v>
      </c>
      <c r="AE26" s="19">
        <v>24.572917978024446</v>
      </c>
      <c r="AF26" s="19">
        <v>35.088061383370835</v>
      </c>
      <c r="AG26" s="19">
        <v>52.263427784190881</v>
      </c>
      <c r="AH26" s="19">
        <v>84.441264121611795</v>
      </c>
      <c r="AI26" s="19">
        <v>71.384403211831994</v>
      </c>
      <c r="AJ26" s="19">
        <v>14.309448203251849</v>
      </c>
      <c r="AK26" s="19">
        <v>289.15452537814735</v>
      </c>
      <c r="AL26" s="19">
        <v>53.021530163508793</v>
      </c>
      <c r="AM26" s="19">
        <v>86.932631864359763</v>
      </c>
      <c r="AN26" s="19">
        <v>130.2531150818462</v>
      </c>
      <c r="AO26" s="19">
        <v>18.947248268432723</v>
      </c>
      <c r="AP26" s="19">
        <v>289.15452537814735</v>
      </c>
      <c r="AQ26" s="19">
        <v>18.542710851100477</v>
      </c>
      <c r="AR26" s="19">
        <v>267.89009439135043</v>
      </c>
      <c r="AS26" s="19">
        <v>0</v>
      </c>
      <c r="AT26" s="19">
        <v>2.721720135696283</v>
      </c>
      <c r="AU26" s="19">
        <v>289.15452537814735</v>
      </c>
      <c r="AV26" s="19">
        <v>114.57775250522522</v>
      </c>
      <c r="AW26" s="19">
        <v>167.51239363257903</v>
      </c>
      <c r="AX26" s="19">
        <v>1.6239434303854956</v>
      </c>
      <c r="AY26" s="20">
        <v>5.4404358099576058</v>
      </c>
      <c r="AZ26" s="24"/>
    </row>
    <row r="27" spans="1:52" ht="15.5" x14ac:dyDescent="0.35">
      <c r="A27" s="79"/>
      <c r="B27" s="29" t="s">
        <v>60</v>
      </c>
      <c r="C27" s="12">
        <v>0.33652778427817537</v>
      </c>
      <c r="D27" s="13">
        <v>0.33652778427817537</v>
      </c>
      <c r="E27" s="13">
        <v>0</v>
      </c>
      <c r="F27" s="13">
        <v>0.33652778427817537</v>
      </c>
      <c r="G27" s="13">
        <v>0.27178277776089649</v>
      </c>
      <c r="H27" s="13">
        <v>0.27702134590246097</v>
      </c>
      <c r="I27" s="13">
        <v>0.31621194760703453</v>
      </c>
      <c r="J27" s="13">
        <v>0.27044934391106074</v>
      </c>
      <c r="K27" s="13">
        <v>0.58214439892061087</v>
      </c>
      <c r="L27" s="13">
        <v>0.2640574130290016</v>
      </c>
      <c r="M27" s="13">
        <v>0.50805696429703995</v>
      </c>
      <c r="N27" s="13">
        <v>0.33652778427817537</v>
      </c>
      <c r="O27" s="13">
        <v>0</v>
      </c>
      <c r="P27" s="13">
        <v>0.56141203928402406</v>
      </c>
      <c r="Q27" s="13">
        <v>0.36431970027432448</v>
      </c>
      <c r="R27" s="13">
        <v>0.32572821319078243</v>
      </c>
      <c r="S27" s="13">
        <v>0.30948020024395406</v>
      </c>
      <c r="T27" s="13">
        <v>0.33253022948765065</v>
      </c>
      <c r="U27" s="13">
        <v>0.31635243530812418</v>
      </c>
      <c r="V27" s="13">
        <v>0</v>
      </c>
      <c r="W27" s="13">
        <v>0.33652778427817537</v>
      </c>
      <c r="X27" s="13">
        <v>0.37473432000454771</v>
      </c>
      <c r="Y27" s="13">
        <v>0.28805736725921771</v>
      </c>
      <c r="Z27" s="13">
        <v>0</v>
      </c>
      <c r="AA27" s="13">
        <v>0</v>
      </c>
      <c r="AB27" s="13">
        <v>1</v>
      </c>
      <c r="AC27" s="13">
        <v>0.33652778427817537</v>
      </c>
      <c r="AD27" s="13">
        <v>0.49165781039550382</v>
      </c>
      <c r="AE27" s="13">
        <v>0.46118718360285038</v>
      </c>
      <c r="AF27" s="13">
        <v>0.36426570325106206</v>
      </c>
      <c r="AG27" s="13">
        <v>0.29827214388106954</v>
      </c>
      <c r="AH27" s="13">
        <v>0.33259626245393259</v>
      </c>
      <c r="AI27" s="13">
        <v>0.26699055661089638</v>
      </c>
      <c r="AJ27" s="13">
        <v>0.48734171417252314</v>
      </c>
      <c r="AK27" s="13">
        <v>0.33652778427817537</v>
      </c>
      <c r="AL27" s="13">
        <v>0.23137916250048973</v>
      </c>
      <c r="AM27" s="13">
        <v>0.39429373540480911</v>
      </c>
      <c r="AN27" s="13">
        <v>0.34287632657024475</v>
      </c>
      <c r="AO27" s="13">
        <v>0.32209176970523473</v>
      </c>
      <c r="AP27" s="13">
        <v>0.33652778427817537</v>
      </c>
      <c r="AQ27" s="13">
        <v>0.43934946038103512</v>
      </c>
      <c r="AR27" s="13">
        <v>0.33282978206289981</v>
      </c>
      <c r="AS27" s="13">
        <v>0</v>
      </c>
      <c r="AT27" s="13">
        <v>0</v>
      </c>
      <c r="AU27" s="13">
        <v>0.33652778427817537</v>
      </c>
      <c r="AV27" s="13">
        <v>0.39124566059420524</v>
      </c>
      <c r="AW27" s="13">
        <v>0.29940209549570257</v>
      </c>
      <c r="AX27" s="13">
        <v>1</v>
      </c>
      <c r="AY27" s="14">
        <v>0.12921357594954241</v>
      </c>
      <c r="AZ27" s="24"/>
    </row>
    <row r="28" spans="1:52" ht="15.5" x14ac:dyDescent="0.35">
      <c r="A28" s="79"/>
      <c r="B28" s="29" t="s">
        <v>61</v>
      </c>
      <c r="C28" s="12">
        <v>0.42043979587234431</v>
      </c>
      <c r="D28" s="13">
        <v>0.42043979587234431</v>
      </c>
      <c r="E28" s="13">
        <v>0</v>
      </c>
      <c r="F28" s="13">
        <v>0.42043979587234431</v>
      </c>
      <c r="G28" s="13">
        <v>0.53492449687474408</v>
      </c>
      <c r="H28" s="13">
        <v>0.44928721976807162</v>
      </c>
      <c r="I28" s="13">
        <v>0.38043617929072837</v>
      </c>
      <c r="J28" s="13">
        <v>0.4387435054804788</v>
      </c>
      <c r="K28" s="13">
        <v>0.29924483803654406</v>
      </c>
      <c r="L28" s="13">
        <v>0.44466452451738619</v>
      </c>
      <c r="M28" s="13">
        <v>0.49194303570296005</v>
      </c>
      <c r="N28" s="13">
        <v>0.42043979587234431</v>
      </c>
      <c r="O28" s="13">
        <v>0</v>
      </c>
      <c r="P28" s="13">
        <v>0.25030785635324571</v>
      </c>
      <c r="Q28" s="13">
        <v>0.4804860236174911</v>
      </c>
      <c r="R28" s="13">
        <v>0.35514593548694007</v>
      </c>
      <c r="S28" s="13">
        <v>0.47676216709373859</v>
      </c>
      <c r="T28" s="13">
        <v>0.41983062379403985</v>
      </c>
      <c r="U28" s="13">
        <v>0.28293307521412442</v>
      </c>
      <c r="V28" s="13">
        <v>0</v>
      </c>
      <c r="W28" s="13">
        <v>0.42043979587234431</v>
      </c>
      <c r="X28" s="13">
        <v>0.37712365082059257</v>
      </c>
      <c r="Y28" s="13">
        <v>0.47105201902494348</v>
      </c>
      <c r="Z28" s="13">
        <v>1</v>
      </c>
      <c r="AA28" s="13">
        <v>0</v>
      </c>
      <c r="AB28" s="13">
        <v>0</v>
      </c>
      <c r="AC28" s="13">
        <v>0.42043979587234431</v>
      </c>
      <c r="AD28" s="13">
        <v>0.36660683144630402</v>
      </c>
      <c r="AE28" s="13">
        <v>0.38339902792135755</v>
      </c>
      <c r="AF28" s="13">
        <v>0.39806425801689094</v>
      </c>
      <c r="AG28" s="13">
        <v>0.39970644953037437</v>
      </c>
      <c r="AH28" s="13">
        <v>0.48638426636234328</v>
      </c>
      <c r="AI28" s="13">
        <v>0.44505562935296006</v>
      </c>
      <c r="AJ28" s="13">
        <v>0.12938970100027847</v>
      </c>
      <c r="AK28" s="13">
        <v>0.42043979587234431</v>
      </c>
      <c r="AL28" s="13">
        <v>0.41351870543942387</v>
      </c>
      <c r="AM28" s="13">
        <v>0.32895764479239331</v>
      </c>
      <c r="AN28" s="13">
        <v>0.49624653073811353</v>
      </c>
      <c r="AO28" s="13">
        <v>0.33840612157394773</v>
      </c>
      <c r="AP28" s="13">
        <v>0.42043979587234431</v>
      </c>
      <c r="AQ28" s="13">
        <v>0.14635313772329483</v>
      </c>
      <c r="AR28" s="13">
        <v>0.43939288992295694</v>
      </c>
      <c r="AS28" s="13">
        <v>0</v>
      </c>
      <c r="AT28" s="13">
        <v>0.42226345728060749</v>
      </c>
      <c r="AU28" s="13">
        <v>0.42043979587234431</v>
      </c>
      <c r="AV28" s="13">
        <v>0.4039080473317454</v>
      </c>
      <c r="AW28" s="13">
        <v>0.44261746120042295</v>
      </c>
      <c r="AX28" s="13">
        <v>0</v>
      </c>
      <c r="AY28" s="14">
        <v>0.21124832539073965</v>
      </c>
      <c r="AZ28" s="24"/>
    </row>
    <row r="29" spans="1:52" ht="15.5" x14ac:dyDescent="0.35">
      <c r="A29" s="79"/>
      <c r="B29" s="29" t="s">
        <v>66</v>
      </c>
      <c r="C29" s="12">
        <v>0.14750970122634766</v>
      </c>
      <c r="D29" s="13">
        <v>0.14750970122634766</v>
      </c>
      <c r="E29" s="13">
        <v>0</v>
      </c>
      <c r="F29" s="13">
        <v>0.14750970122634766</v>
      </c>
      <c r="G29" s="13">
        <v>0.16287492518509289</v>
      </c>
      <c r="H29" s="13">
        <v>0.10274104141392984</v>
      </c>
      <c r="I29" s="13">
        <v>6.0275501613420095E-2</v>
      </c>
      <c r="J29" s="13">
        <v>0.19221865158671314</v>
      </c>
      <c r="K29" s="13">
        <v>7.8138716472081982E-2</v>
      </c>
      <c r="L29" s="13">
        <v>0.19636636837005333</v>
      </c>
      <c r="M29" s="13">
        <v>0</v>
      </c>
      <c r="N29" s="13">
        <v>0.14750970122634766</v>
      </c>
      <c r="O29" s="13">
        <v>0</v>
      </c>
      <c r="P29" s="13">
        <v>0.18828010436273035</v>
      </c>
      <c r="Q29" s="13">
        <v>0.13463674049133428</v>
      </c>
      <c r="R29" s="13">
        <v>0.19045262662869977</v>
      </c>
      <c r="S29" s="13">
        <v>0.11797287985112498</v>
      </c>
      <c r="T29" s="13">
        <v>0.15699959233159297</v>
      </c>
      <c r="U29" s="13">
        <v>9.3847693084307474E-2</v>
      </c>
      <c r="V29" s="13">
        <v>0</v>
      </c>
      <c r="W29" s="13">
        <v>0.14750970122634766</v>
      </c>
      <c r="X29" s="13">
        <v>0.14066773325362675</v>
      </c>
      <c r="Y29" s="13">
        <v>0.15816707286493947</v>
      </c>
      <c r="Z29" s="13">
        <v>0</v>
      </c>
      <c r="AA29" s="13">
        <v>0</v>
      </c>
      <c r="AB29" s="13">
        <v>0</v>
      </c>
      <c r="AC29" s="13">
        <v>0.14750970122634766</v>
      </c>
      <c r="AD29" s="13">
        <v>0.14173535815819224</v>
      </c>
      <c r="AE29" s="13">
        <v>0.15541378847579182</v>
      </c>
      <c r="AF29" s="13">
        <v>0.14130699545920772</v>
      </c>
      <c r="AG29" s="13">
        <v>0.17965590136836584</v>
      </c>
      <c r="AH29" s="13">
        <v>0.14064035196325564</v>
      </c>
      <c r="AI29" s="13">
        <v>0.14255300094388956</v>
      </c>
      <c r="AJ29" s="13">
        <v>9.9862890512291885E-2</v>
      </c>
      <c r="AK29" s="13">
        <v>0.14750970122634766</v>
      </c>
      <c r="AL29" s="13">
        <v>0.1510740646650317</v>
      </c>
      <c r="AM29" s="13">
        <v>0.16812027890652353</v>
      </c>
      <c r="AN29" s="13">
        <v>0.11961022440721923</v>
      </c>
      <c r="AO29" s="13">
        <v>0.23476638229487259</v>
      </c>
      <c r="AP29" s="13">
        <v>0.14750970122634766</v>
      </c>
      <c r="AQ29" s="13">
        <v>0.27272111850434416</v>
      </c>
      <c r="AR29" s="13">
        <v>0.13447183145670771</v>
      </c>
      <c r="AS29" s="13">
        <v>0</v>
      </c>
      <c r="AT29" s="13">
        <v>0.57773654271939268</v>
      </c>
      <c r="AU29" s="13">
        <v>0.14750970122634766</v>
      </c>
      <c r="AV29" s="13">
        <v>0.11994091410073991</v>
      </c>
      <c r="AW29" s="13">
        <v>0.15765327619819508</v>
      </c>
      <c r="AX29" s="13">
        <v>0</v>
      </c>
      <c r="AY29" s="14">
        <v>0.45982706222455305</v>
      </c>
      <c r="AZ29" s="24"/>
    </row>
    <row r="30" spans="1:52" ht="15.5" x14ac:dyDescent="0.35">
      <c r="A30" s="79"/>
      <c r="B30" s="29" t="s">
        <v>67</v>
      </c>
      <c r="C30" s="12">
        <v>2.9244634237731763E-2</v>
      </c>
      <c r="D30" s="13">
        <v>2.9244634237731763E-2</v>
      </c>
      <c r="E30" s="13">
        <v>0</v>
      </c>
      <c r="F30" s="13">
        <v>2.9244634237731763E-2</v>
      </c>
      <c r="G30" s="13">
        <v>0</v>
      </c>
      <c r="H30" s="13">
        <v>0</v>
      </c>
      <c r="I30" s="13">
        <v>0.12055100322684019</v>
      </c>
      <c r="J30" s="13">
        <v>4.5895578110040303E-2</v>
      </c>
      <c r="K30" s="13">
        <v>0</v>
      </c>
      <c r="L30" s="13">
        <v>4.5252431655688957E-2</v>
      </c>
      <c r="M30" s="13">
        <v>0</v>
      </c>
      <c r="N30" s="13">
        <v>2.9244634237731763E-2</v>
      </c>
      <c r="O30" s="13">
        <v>0</v>
      </c>
      <c r="P30" s="13">
        <v>0</v>
      </c>
      <c r="Q30" s="13">
        <v>0</v>
      </c>
      <c r="R30" s="13">
        <v>2.0163674032272327E-2</v>
      </c>
      <c r="S30" s="13">
        <v>4.3457501249867816E-2</v>
      </c>
      <c r="T30" s="13">
        <v>4.9657257574239909E-2</v>
      </c>
      <c r="U30" s="13">
        <v>0.10298689039703669</v>
      </c>
      <c r="V30" s="13">
        <v>0</v>
      </c>
      <c r="W30" s="13">
        <v>2.9244634237731763E-2</v>
      </c>
      <c r="X30" s="13">
        <v>2.4109207518108647E-2</v>
      </c>
      <c r="Y30" s="13">
        <v>3.5901943585249181E-2</v>
      </c>
      <c r="Z30" s="13">
        <v>0</v>
      </c>
      <c r="AA30" s="13">
        <v>0</v>
      </c>
      <c r="AB30" s="13">
        <v>0</v>
      </c>
      <c r="AC30" s="13">
        <v>2.9244634237731763E-2</v>
      </c>
      <c r="AD30" s="13">
        <v>0</v>
      </c>
      <c r="AE30" s="13">
        <v>0</v>
      </c>
      <c r="AF30" s="13">
        <v>0</v>
      </c>
      <c r="AG30" s="13">
        <v>3.3362703534052476E-2</v>
      </c>
      <c r="AH30" s="13">
        <v>0</v>
      </c>
      <c r="AI30" s="13">
        <v>7.8813490883585427E-2</v>
      </c>
      <c r="AJ30" s="13">
        <v>7.5929907207652234E-2</v>
      </c>
      <c r="AK30" s="13">
        <v>2.9244634237731763E-2</v>
      </c>
      <c r="AL30" s="13">
        <v>6.7204307673394179E-2</v>
      </c>
      <c r="AM30" s="13">
        <v>3.4057608273775797E-2</v>
      </c>
      <c r="AN30" s="13">
        <v>6.4928236795296366E-3</v>
      </c>
      <c r="AO30" s="13">
        <v>5.7344214783727698E-2</v>
      </c>
      <c r="AP30" s="13">
        <v>2.9244634237731763E-2</v>
      </c>
      <c r="AQ30" s="13">
        <v>4.6889531023817828E-2</v>
      </c>
      <c r="AR30" s="13">
        <v>2.8320417499526056E-2</v>
      </c>
      <c r="AS30" s="13">
        <v>0</v>
      </c>
      <c r="AT30" s="13">
        <v>0</v>
      </c>
      <c r="AU30" s="13">
        <v>2.9244634237731763E-2</v>
      </c>
      <c r="AV30" s="13">
        <v>3.1099189402062102E-2</v>
      </c>
      <c r="AW30" s="13">
        <v>2.2723262139812996E-2</v>
      </c>
      <c r="AX30" s="13">
        <v>0</v>
      </c>
      <c r="AY30" s="14">
        <v>0.19971103643516483</v>
      </c>
      <c r="AZ30" s="24"/>
    </row>
    <row r="31" spans="1:52" ht="15.5" x14ac:dyDescent="0.35">
      <c r="A31" s="79"/>
      <c r="B31" s="29" t="s">
        <v>64</v>
      </c>
      <c r="C31" s="12">
        <v>9.1191959208998391E-3</v>
      </c>
      <c r="D31" s="13">
        <v>9.1191959208998391E-3</v>
      </c>
      <c r="E31" s="13">
        <v>0</v>
      </c>
      <c r="F31" s="13">
        <v>9.1191959208998391E-3</v>
      </c>
      <c r="G31" s="13">
        <v>0</v>
      </c>
      <c r="H31" s="13">
        <v>0</v>
      </c>
      <c r="I31" s="13">
        <v>0</v>
      </c>
      <c r="J31" s="13">
        <v>2.1312795082776361E-2</v>
      </c>
      <c r="K31" s="13">
        <v>0</v>
      </c>
      <c r="L31" s="13">
        <v>0</v>
      </c>
      <c r="M31" s="13">
        <v>0</v>
      </c>
      <c r="N31" s="13">
        <v>9.1191959208998391E-3</v>
      </c>
      <c r="O31" s="13">
        <v>0</v>
      </c>
      <c r="P31" s="13">
        <v>0</v>
      </c>
      <c r="Q31" s="13">
        <v>0</v>
      </c>
      <c r="R31" s="13">
        <v>2.043830330775271E-2</v>
      </c>
      <c r="S31" s="13">
        <v>8.5698885234989797E-3</v>
      </c>
      <c r="T31" s="13">
        <v>0</v>
      </c>
      <c r="U31" s="13">
        <v>0</v>
      </c>
      <c r="V31" s="13">
        <v>0</v>
      </c>
      <c r="W31" s="13">
        <v>9.1191959208998391E-3</v>
      </c>
      <c r="X31" s="13">
        <v>1.1097011453239982E-2</v>
      </c>
      <c r="Y31" s="13">
        <v>6.8909545033806275E-3</v>
      </c>
      <c r="Z31" s="13">
        <v>0</v>
      </c>
      <c r="AA31" s="13">
        <v>0</v>
      </c>
      <c r="AB31" s="13">
        <v>0</v>
      </c>
      <c r="AC31" s="13">
        <v>9.1191959208998391E-3</v>
      </c>
      <c r="AD31" s="13">
        <v>0</v>
      </c>
      <c r="AE31" s="13">
        <v>0</v>
      </c>
      <c r="AF31" s="13">
        <v>2.5591004504083789E-2</v>
      </c>
      <c r="AG31" s="13">
        <v>0</v>
      </c>
      <c r="AH31" s="13">
        <v>0</v>
      </c>
      <c r="AI31" s="13">
        <v>1.2179957758255042E-2</v>
      </c>
      <c r="AJ31" s="13">
        <v>6.0761184035089011E-2</v>
      </c>
      <c r="AK31" s="13">
        <v>9.1191959208998391E-3</v>
      </c>
      <c r="AL31" s="13">
        <v>1.639822564601786E-2</v>
      </c>
      <c r="AM31" s="13">
        <v>1.0329133233909882E-2</v>
      </c>
      <c r="AN31" s="13">
        <v>6.6751494977453987E-3</v>
      </c>
      <c r="AO31" s="13">
        <v>0</v>
      </c>
      <c r="AP31" s="13">
        <v>9.1191959208998391E-3</v>
      </c>
      <c r="AQ31" s="13">
        <v>0</v>
      </c>
      <c r="AR31" s="13">
        <v>9.8430543851541104E-3</v>
      </c>
      <c r="AS31" s="13">
        <v>0</v>
      </c>
      <c r="AT31" s="13">
        <v>0</v>
      </c>
      <c r="AU31" s="13">
        <v>9.1191959208998391E-3</v>
      </c>
      <c r="AV31" s="13">
        <v>7.5883755502946211E-3</v>
      </c>
      <c r="AW31" s="13">
        <v>1.0550847697253814E-2</v>
      </c>
      <c r="AX31" s="13">
        <v>0</v>
      </c>
      <c r="AY31" s="14">
        <v>0</v>
      </c>
      <c r="AZ31" s="24"/>
    </row>
    <row r="32" spans="1:52" ht="15.5" x14ac:dyDescent="0.35">
      <c r="A32" s="78"/>
      <c r="B32" s="30" t="s">
        <v>53</v>
      </c>
      <c r="C32" s="15">
        <v>5.715888846450129E-2</v>
      </c>
      <c r="D32" s="16">
        <v>5.715888846450129E-2</v>
      </c>
      <c r="E32" s="16">
        <v>0</v>
      </c>
      <c r="F32" s="16">
        <v>5.715888846450129E-2</v>
      </c>
      <c r="G32" s="16">
        <v>3.0417800179266461E-2</v>
      </c>
      <c r="H32" s="16">
        <v>0.17095039291553729</v>
      </c>
      <c r="I32" s="16">
        <v>0.12252536826197705</v>
      </c>
      <c r="J32" s="16">
        <v>3.1380125828930468E-2</v>
      </c>
      <c r="K32" s="16">
        <v>4.047204657076249E-2</v>
      </c>
      <c r="L32" s="16">
        <v>4.9659262427870068E-2</v>
      </c>
      <c r="M32" s="16">
        <v>0</v>
      </c>
      <c r="N32" s="16">
        <v>5.715888846450129E-2</v>
      </c>
      <c r="O32" s="16">
        <v>0</v>
      </c>
      <c r="P32" s="16">
        <v>0</v>
      </c>
      <c r="Q32" s="16">
        <v>2.0557535616850114E-2</v>
      </c>
      <c r="R32" s="16">
        <v>8.8071247353552526E-2</v>
      </c>
      <c r="S32" s="16">
        <v>4.3757363037815633E-2</v>
      </c>
      <c r="T32" s="16">
        <v>4.0982296812476636E-2</v>
      </c>
      <c r="U32" s="16">
        <v>0.20387990599640726</v>
      </c>
      <c r="V32" s="16">
        <v>0</v>
      </c>
      <c r="W32" s="16">
        <v>5.715888846450129E-2</v>
      </c>
      <c r="X32" s="16">
        <v>7.2268076949884963E-2</v>
      </c>
      <c r="Y32" s="16">
        <v>3.9930642762270041E-2</v>
      </c>
      <c r="Z32" s="16">
        <v>0</v>
      </c>
      <c r="AA32" s="16">
        <v>0</v>
      </c>
      <c r="AB32" s="16">
        <v>0</v>
      </c>
      <c r="AC32" s="16">
        <v>5.715888846450129E-2</v>
      </c>
      <c r="AD32" s="16">
        <v>0</v>
      </c>
      <c r="AE32" s="16">
        <v>0</v>
      </c>
      <c r="AF32" s="16">
        <v>7.0772038768755166E-2</v>
      </c>
      <c r="AG32" s="16">
        <v>8.9002801686137556E-2</v>
      </c>
      <c r="AH32" s="16">
        <v>4.0379119220468371E-2</v>
      </c>
      <c r="AI32" s="16">
        <v>5.4407364450413567E-2</v>
      </c>
      <c r="AJ32" s="16">
        <v>0.14671460307216544</v>
      </c>
      <c r="AK32" s="16">
        <v>5.715888846450129E-2</v>
      </c>
      <c r="AL32" s="16">
        <v>0.12042553407564276</v>
      </c>
      <c r="AM32" s="16">
        <v>6.4241599388588325E-2</v>
      </c>
      <c r="AN32" s="16">
        <v>2.8098945107147402E-2</v>
      </c>
      <c r="AO32" s="16">
        <v>4.7391511642217325E-2</v>
      </c>
      <c r="AP32" s="16">
        <v>5.715888846450129E-2</v>
      </c>
      <c r="AQ32" s="16">
        <v>9.468675236750787E-2</v>
      </c>
      <c r="AR32" s="16">
        <v>5.5142024672756397E-2</v>
      </c>
      <c r="AS32" s="16">
        <v>0</v>
      </c>
      <c r="AT32" s="16">
        <v>0</v>
      </c>
      <c r="AU32" s="16">
        <v>5.715888846450129E-2</v>
      </c>
      <c r="AV32" s="16">
        <v>4.621781302095284E-2</v>
      </c>
      <c r="AW32" s="16">
        <v>6.7053057268613367E-2</v>
      </c>
      <c r="AX32" s="16">
        <v>0</v>
      </c>
      <c r="AY32" s="17">
        <v>0</v>
      </c>
      <c r="AZ32" s="24"/>
    </row>
    <row r="33" spans="1:52" ht="15.5" x14ac:dyDescent="0.35">
      <c r="A33" s="78" t="s">
        <v>68</v>
      </c>
      <c r="B33" s="29" t="s">
        <v>9</v>
      </c>
      <c r="C33" s="18">
        <v>289.15452537814735</v>
      </c>
      <c r="D33" s="19">
        <v>289.15452537814735</v>
      </c>
      <c r="E33" s="19">
        <v>0</v>
      </c>
      <c r="F33" s="19">
        <v>289.15452537814735</v>
      </c>
      <c r="G33" s="19">
        <v>30.212102662412004</v>
      </c>
      <c r="H33" s="19">
        <v>37.959709003017657</v>
      </c>
      <c r="I33" s="19">
        <v>14.03075026002962</v>
      </c>
      <c r="J33" s="19">
        <v>123.72177173838026</v>
      </c>
      <c r="K33" s="19">
        <v>57.464039865887585</v>
      </c>
      <c r="L33" s="19">
        <v>24.010092596405844</v>
      </c>
      <c r="M33" s="19">
        <v>1.7560592520145715</v>
      </c>
      <c r="N33" s="19">
        <v>289.15452537814735</v>
      </c>
      <c r="O33" s="19">
        <v>0</v>
      </c>
      <c r="P33" s="19">
        <v>10.792937489453079</v>
      </c>
      <c r="Q33" s="19">
        <v>56.733706974785548</v>
      </c>
      <c r="R33" s="19">
        <v>86.474778557051607</v>
      </c>
      <c r="S33" s="19">
        <v>101.45511383657649</v>
      </c>
      <c r="T33" s="19">
        <v>21.880287541881032</v>
      </c>
      <c r="U33" s="19">
        <v>11.817700978399701</v>
      </c>
      <c r="V33" s="19">
        <v>0</v>
      </c>
      <c r="W33" s="19">
        <v>289.15452537814735</v>
      </c>
      <c r="X33" s="19">
        <v>156.70147217240265</v>
      </c>
      <c r="Y33" s="19">
        <v>130.30687351961075</v>
      </c>
      <c r="Z33" s="19">
        <v>1.0949224866943801</v>
      </c>
      <c r="AA33" s="19">
        <v>0</v>
      </c>
      <c r="AB33" s="19">
        <v>1.0512571994395963</v>
      </c>
      <c r="AC33" s="19">
        <v>289.15452537814735</v>
      </c>
      <c r="AD33" s="19">
        <v>7.0950026958656949</v>
      </c>
      <c r="AE33" s="19">
        <v>24.572917978024446</v>
      </c>
      <c r="AF33" s="19">
        <v>35.088061383370835</v>
      </c>
      <c r="AG33" s="19">
        <v>52.263427784190881</v>
      </c>
      <c r="AH33" s="19">
        <v>84.441264121611795</v>
      </c>
      <c r="AI33" s="19">
        <v>71.384403211831994</v>
      </c>
      <c r="AJ33" s="19">
        <v>14.309448203251849</v>
      </c>
      <c r="AK33" s="19">
        <v>289.15452537814735</v>
      </c>
      <c r="AL33" s="19">
        <v>53.021530163508793</v>
      </c>
      <c r="AM33" s="19">
        <v>86.932631864359763</v>
      </c>
      <c r="AN33" s="19">
        <v>130.2531150818462</v>
      </c>
      <c r="AO33" s="19">
        <v>18.947248268432723</v>
      </c>
      <c r="AP33" s="19">
        <v>289.15452537814735</v>
      </c>
      <c r="AQ33" s="19">
        <v>18.542710851100477</v>
      </c>
      <c r="AR33" s="19">
        <v>267.89009439135043</v>
      </c>
      <c r="AS33" s="19">
        <v>0</v>
      </c>
      <c r="AT33" s="19">
        <v>2.721720135696283</v>
      </c>
      <c r="AU33" s="19">
        <v>289.15452537814735</v>
      </c>
      <c r="AV33" s="19">
        <v>114.57775250522522</v>
      </c>
      <c r="AW33" s="19">
        <v>167.51239363257903</v>
      </c>
      <c r="AX33" s="19">
        <v>1.6239434303854956</v>
      </c>
      <c r="AY33" s="20">
        <v>5.4404358099576058</v>
      </c>
      <c r="AZ33" s="24"/>
    </row>
    <row r="34" spans="1:52" ht="15.5" x14ac:dyDescent="0.35">
      <c r="A34" s="79"/>
      <c r="B34" s="29" t="s">
        <v>69</v>
      </c>
      <c r="C34" s="12">
        <v>0.15234670992372551</v>
      </c>
      <c r="D34" s="13">
        <v>0.15234670992372551</v>
      </c>
      <c r="E34" s="13">
        <v>0</v>
      </c>
      <c r="F34" s="13">
        <v>0.15234670992372551</v>
      </c>
      <c r="G34" s="13">
        <v>0.10890785257580361</v>
      </c>
      <c r="H34" s="13">
        <v>0.12522370054384405</v>
      </c>
      <c r="I34" s="13">
        <v>0.19171221430992069</v>
      </c>
      <c r="J34" s="13">
        <v>0.14622861863468947</v>
      </c>
      <c r="K34" s="13">
        <v>0.18681509709883326</v>
      </c>
      <c r="L34" s="13">
        <v>0.1870575868393182</v>
      </c>
      <c r="M34" s="13">
        <v>0</v>
      </c>
      <c r="N34" s="13">
        <v>0.15234670992372551</v>
      </c>
      <c r="O34" s="13">
        <v>0</v>
      </c>
      <c r="P34" s="13">
        <v>0.19258013775653013</v>
      </c>
      <c r="Q34" s="13">
        <v>0.18787608467980144</v>
      </c>
      <c r="R34" s="13">
        <v>0.12734680142090607</v>
      </c>
      <c r="S34" s="13">
        <v>0.13342373248384265</v>
      </c>
      <c r="T34" s="13">
        <v>0.25041381841975946</v>
      </c>
      <c r="U34" s="13">
        <v>0.1088532961700792</v>
      </c>
      <c r="V34" s="13">
        <v>0</v>
      </c>
      <c r="W34" s="13">
        <v>0.15234670992372551</v>
      </c>
      <c r="X34" s="13">
        <v>0.17031188965339208</v>
      </c>
      <c r="Y34" s="13">
        <v>0.13325173334892121</v>
      </c>
      <c r="Z34" s="13">
        <v>0</v>
      </c>
      <c r="AA34" s="13">
        <v>0</v>
      </c>
      <c r="AB34" s="13">
        <v>0</v>
      </c>
      <c r="AC34" s="13">
        <v>0.15234670992372551</v>
      </c>
      <c r="AD34" s="13">
        <v>0.11919805336067187</v>
      </c>
      <c r="AE34" s="13">
        <v>0.11552986484377423</v>
      </c>
      <c r="AF34" s="13">
        <v>0.23030366576013306</v>
      </c>
      <c r="AG34" s="13">
        <v>0.14053740226299494</v>
      </c>
      <c r="AH34" s="13">
        <v>0.15127238352076194</v>
      </c>
      <c r="AI34" s="13">
        <v>0.14506106569729948</v>
      </c>
      <c r="AJ34" s="13">
        <v>0.12666594420725494</v>
      </c>
      <c r="AK34" s="13">
        <v>0.15234670992372551</v>
      </c>
      <c r="AL34" s="13">
        <v>0.1410646637709608</v>
      </c>
      <c r="AM34" s="13">
        <v>0.13530391252546045</v>
      </c>
      <c r="AN34" s="13">
        <v>0.16988439977826278</v>
      </c>
      <c r="AO34" s="13">
        <v>0.14154977786069353</v>
      </c>
      <c r="AP34" s="13">
        <v>0.15234670992372551</v>
      </c>
      <c r="AQ34" s="13">
        <v>0.20380089382773417</v>
      </c>
      <c r="AR34" s="13">
        <v>0.1470874114598375</v>
      </c>
      <c r="AS34" s="13">
        <v>0</v>
      </c>
      <c r="AT34" s="13">
        <v>0.31945202753035085</v>
      </c>
      <c r="AU34" s="13">
        <v>0.15234670992372551</v>
      </c>
      <c r="AV34" s="13">
        <v>0.17866200405550192</v>
      </c>
      <c r="AW34" s="13">
        <v>0.12354819094341965</v>
      </c>
      <c r="AX34" s="13">
        <v>0</v>
      </c>
      <c r="AY34" s="14">
        <v>0.53032452271017549</v>
      </c>
      <c r="AZ34" s="24"/>
    </row>
    <row r="35" spans="1:52" ht="15.5" x14ac:dyDescent="0.35">
      <c r="A35" s="79"/>
      <c r="B35" s="29" t="s">
        <v>70</v>
      </c>
      <c r="C35" s="12">
        <v>0.16185414286815067</v>
      </c>
      <c r="D35" s="13">
        <v>0.16185414286815067</v>
      </c>
      <c r="E35" s="13">
        <v>0</v>
      </c>
      <c r="F35" s="13">
        <v>0.16185414286815067</v>
      </c>
      <c r="G35" s="13">
        <v>0.22590417557964546</v>
      </c>
      <c r="H35" s="13">
        <v>8.1410740454107788E-2</v>
      </c>
      <c r="I35" s="13">
        <v>0.12252536826197705</v>
      </c>
      <c r="J35" s="13">
        <v>0.24677989215405119</v>
      </c>
      <c r="K35" s="13">
        <v>2.4867427743466734E-2</v>
      </c>
      <c r="L35" s="13">
        <v>0.13349963138620388</v>
      </c>
      <c r="M35" s="13">
        <v>0</v>
      </c>
      <c r="N35" s="13">
        <v>0.16185414286815067</v>
      </c>
      <c r="O35" s="13">
        <v>0</v>
      </c>
      <c r="P35" s="13">
        <v>9.3173220841365423E-2</v>
      </c>
      <c r="Q35" s="13">
        <v>0.27541172041465062</v>
      </c>
      <c r="R35" s="13">
        <v>0.15205914827230119</v>
      </c>
      <c r="S35" s="13">
        <v>0.11222612323591399</v>
      </c>
      <c r="T35" s="13">
        <v>0.15122240651483962</v>
      </c>
      <c r="U35" s="13">
        <v>0.19683458348134417</v>
      </c>
      <c r="V35" s="13">
        <v>0</v>
      </c>
      <c r="W35" s="13">
        <v>0.16185414286815067</v>
      </c>
      <c r="X35" s="13">
        <v>0.18206207108625208</v>
      </c>
      <c r="Y35" s="13">
        <v>0.14021872217511874</v>
      </c>
      <c r="Z35" s="13">
        <v>0</v>
      </c>
      <c r="AA35" s="13">
        <v>0</v>
      </c>
      <c r="AB35" s="13">
        <v>0</v>
      </c>
      <c r="AC35" s="13">
        <v>0.16185414286815067</v>
      </c>
      <c r="AD35" s="13">
        <v>0.41110031477274461</v>
      </c>
      <c r="AE35" s="13">
        <v>0.22929830239202326</v>
      </c>
      <c r="AF35" s="13">
        <v>0.14679971689432636</v>
      </c>
      <c r="AG35" s="13">
        <v>0.18408193492583114</v>
      </c>
      <c r="AH35" s="13">
        <v>0.16949624147496117</v>
      </c>
      <c r="AI35" s="13">
        <v>0.12839533492684452</v>
      </c>
      <c r="AJ35" s="13">
        <v>0</v>
      </c>
      <c r="AK35" s="13">
        <v>0.16185414286815067</v>
      </c>
      <c r="AL35" s="13">
        <v>8.3892390201796785E-2</v>
      </c>
      <c r="AM35" s="13">
        <v>0.1261678973128888</v>
      </c>
      <c r="AN35" s="13">
        <v>0.21712025956087977</v>
      </c>
      <c r="AO35" s="13">
        <v>0.16382629258834339</v>
      </c>
      <c r="AP35" s="13">
        <v>0.16185414286815067</v>
      </c>
      <c r="AQ35" s="13">
        <v>0.20925144915012017</v>
      </c>
      <c r="AR35" s="13">
        <v>0.15592769820555891</v>
      </c>
      <c r="AS35" s="13">
        <v>0</v>
      </c>
      <c r="AT35" s="13">
        <v>0.42226345728060749</v>
      </c>
      <c r="AU35" s="13">
        <v>0.16185414286815067</v>
      </c>
      <c r="AV35" s="13">
        <v>0.19808172213016537</v>
      </c>
      <c r="AW35" s="13">
        <v>0.13703951018448174</v>
      </c>
      <c r="AX35" s="13">
        <v>0</v>
      </c>
      <c r="AY35" s="14">
        <v>0.21124832539073965</v>
      </c>
      <c r="AZ35" s="24"/>
    </row>
    <row r="36" spans="1:52" ht="15.5" x14ac:dyDescent="0.35">
      <c r="A36" s="79"/>
      <c r="B36" s="29" t="s">
        <v>71</v>
      </c>
      <c r="C36" s="12">
        <v>0.11171196579612497</v>
      </c>
      <c r="D36" s="13">
        <v>0.11171196579612497</v>
      </c>
      <c r="E36" s="13">
        <v>0</v>
      </c>
      <c r="F36" s="13">
        <v>0.11171196579612497</v>
      </c>
      <c r="G36" s="13">
        <v>0.20757936964001505</v>
      </c>
      <c r="H36" s="13">
        <v>0.12613862366772824</v>
      </c>
      <c r="I36" s="13">
        <v>0.12252536826197705</v>
      </c>
      <c r="J36" s="13">
        <v>0.10341926036843152</v>
      </c>
      <c r="K36" s="13">
        <v>8.266719218492781E-2</v>
      </c>
      <c r="L36" s="13">
        <v>8.2369444086630744E-2</v>
      </c>
      <c r="M36" s="13">
        <v>0</v>
      </c>
      <c r="N36" s="13">
        <v>0.11171196579612497</v>
      </c>
      <c r="O36" s="13">
        <v>0</v>
      </c>
      <c r="P36" s="13">
        <v>0.36362546001469126</v>
      </c>
      <c r="Q36" s="13">
        <v>0.17513971962871516</v>
      </c>
      <c r="R36" s="13">
        <v>7.8097625350266167E-2</v>
      </c>
      <c r="S36" s="13">
        <v>0.10320391478469228</v>
      </c>
      <c r="T36" s="13">
        <v>5.5623961663109511E-2</v>
      </c>
      <c r="U36" s="13">
        <v>0</v>
      </c>
      <c r="V36" s="13">
        <v>0</v>
      </c>
      <c r="W36" s="13">
        <v>0.11171196579612497</v>
      </c>
      <c r="X36" s="13">
        <v>0.11072895738345132</v>
      </c>
      <c r="Y36" s="13">
        <v>0.11473400758469017</v>
      </c>
      <c r="Z36" s="13">
        <v>0</v>
      </c>
      <c r="AA36" s="13">
        <v>0</v>
      </c>
      <c r="AB36" s="13">
        <v>0</v>
      </c>
      <c r="AC36" s="13">
        <v>0.11171196579612497</v>
      </c>
      <c r="AD36" s="13">
        <v>0</v>
      </c>
      <c r="AE36" s="13">
        <v>0.18999023136861948</v>
      </c>
      <c r="AF36" s="13">
        <v>8.4478978265057764E-2</v>
      </c>
      <c r="AG36" s="13">
        <v>0.12445922087516388</v>
      </c>
      <c r="AH36" s="13">
        <v>0.1113621745010944</v>
      </c>
      <c r="AI36" s="13">
        <v>0.122729529352999</v>
      </c>
      <c r="AJ36" s="13">
        <v>0</v>
      </c>
      <c r="AK36" s="13">
        <v>0.11171196579612497</v>
      </c>
      <c r="AL36" s="13">
        <v>7.6184681683386893E-2</v>
      </c>
      <c r="AM36" s="13">
        <v>8.785398460765835E-2</v>
      </c>
      <c r="AN36" s="13">
        <v>0.15277338467692408</v>
      </c>
      <c r="AO36" s="13">
        <v>3.8317157362299008E-2</v>
      </c>
      <c r="AP36" s="13">
        <v>0.11171196579612497</v>
      </c>
      <c r="AQ36" s="13">
        <v>0.15870367734933788</v>
      </c>
      <c r="AR36" s="13">
        <v>0.10959428759561921</v>
      </c>
      <c r="AS36" s="13">
        <v>0</v>
      </c>
      <c r="AT36" s="13">
        <v>0</v>
      </c>
      <c r="AU36" s="13">
        <v>0.11171196579612497</v>
      </c>
      <c r="AV36" s="13">
        <v>0.17401008004307822</v>
      </c>
      <c r="AW36" s="13">
        <v>7.3811473265482597E-2</v>
      </c>
      <c r="AX36" s="13">
        <v>0</v>
      </c>
      <c r="AY36" s="14">
        <v>0</v>
      </c>
      <c r="AZ36" s="24"/>
    </row>
    <row r="37" spans="1:52" ht="15.5" x14ac:dyDescent="0.35">
      <c r="A37" s="79"/>
      <c r="B37" s="29" t="s">
        <v>72</v>
      </c>
      <c r="C37" s="12">
        <v>0.1491983660174743</v>
      </c>
      <c r="D37" s="13">
        <v>0.1491983660174743</v>
      </c>
      <c r="E37" s="13">
        <v>0</v>
      </c>
      <c r="F37" s="13">
        <v>0.1491983660174743</v>
      </c>
      <c r="G37" s="13">
        <v>0.1324571250058264</v>
      </c>
      <c r="H37" s="13">
        <v>0.1923175409309803</v>
      </c>
      <c r="I37" s="13">
        <v>6.2249866648556938E-2</v>
      </c>
      <c r="J37" s="13">
        <v>0.13716955637492537</v>
      </c>
      <c r="K37" s="13">
        <v>0.17878524186688402</v>
      </c>
      <c r="L37" s="13">
        <v>0.11900746701513977</v>
      </c>
      <c r="M37" s="13">
        <v>0.49194303570296005</v>
      </c>
      <c r="N37" s="13">
        <v>0.1491983660174743</v>
      </c>
      <c r="O37" s="13">
        <v>0</v>
      </c>
      <c r="P37" s="13">
        <v>0.10431973170222592</v>
      </c>
      <c r="Q37" s="13">
        <v>0.19684102943965104</v>
      </c>
      <c r="R37" s="13">
        <v>0.13763967048417747</v>
      </c>
      <c r="S37" s="13">
        <v>0.16364898352480473</v>
      </c>
      <c r="T37" s="13">
        <v>5.5623961663109511E-2</v>
      </c>
      <c r="U37" s="13">
        <v>9.5237689045509541E-2</v>
      </c>
      <c r="V37" s="13">
        <v>0</v>
      </c>
      <c r="W37" s="13">
        <v>0.1491983660174743</v>
      </c>
      <c r="X37" s="13">
        <v>0.16377967891024381</v>
      </c>
      <c r="Y37" s="13">
        <v>0.13412082911488976</v>
      </c>
      <c r="Z37" s="13">
        <v>0</v>
      </c>
      <c r="AA37" s="13">
        <v>0</v>
      </c>
      <c r="AB37" s="13">
        <v>0</v>
      </c>
      <c r="AC37" s="13">
        <v>0.1491983660174743</v>
      </c>
      <c r="AD37" s="13">
        <v>0.2014069508451814</v>
      </c>
      <c r="AE37" s="13">
        <v>0.1077234733803204</v>
      </c>
      <c r="AF37" s="13">
        <v>0.1166869638079874</v>
      </c>
      <c r="AG37" s="13">
        <v>0.11191223705186916</v>
      </c>
      <c r="AH37" s="13">
        <v>0.17258702771508119</v>
      </c>
      <c r="AI37" s="13">
        <v>0.17786968473480044</v>
      </c>
      <c r="AJ37" s="13">
        <v>0.12938970100027847</v>
      </c>
      <c r="AK37" s="13">
        <v>0.1491983660174743</v>
      </c>
      <c r="AL37" s="13">
        <v>0.25568361568296477</v>
      </c>
      <c r="AM37" s="13">
        <v>0.15151900757463627</v>
      </c>
      <c r="AN37" s="13">
        <v>0.11196838831749382</v>
      </c>
      <c r="AO37" s="13">
        <v>9.6503126514078177E-2</v>
      </c>
      <c r="AP37" s="13">
        <v>0.1491983660174743</v>
      </c>
      <c r="AQ37" s="13">
        <v>9.7144503528092799E-2</v>
      </c>
      <c r="AR37" s="13">
        <v>0.15431724105815814</v>
      </c>
      <c r="AS37" s="13">
        <v>0</v>
      </c>
      <c r="AT37" s="13">
        <v>0</v>
      </c>
      <c r="AU37" s="13">
        <v>0.1491983660174743</v>
      </c>
      <c r="AV37" s="13">
        <v>0.1283432080097619</v>
      </c>
      <c r="AW37" s="13">
        <v>0.16975523884089661</v>
      </c>
      <c r="AX37" s="13">
        <v>0</v>
      </c>
      <c r="AY37" s="14">
        <v>0</v>
      </c>
      <c r="AZ37" s="24"/>
    </row>
    <row r="38" spans="1:52" ht="15.5" x14ac:dyDescent="0.35">
      <c r="A38" s="79"/>
      <c r="B38" s="29" t="s">
        <v>73</v>
      </c>
      <c r="C38" s="12">
        <v>0.30632140692746401</v>
      </c>
      <c r="D38" s="13">
        <v>0.30632140692746401</v>
      </c>
      <c r="E38" s="13">
        <v>0</v>
      </c>
      <c r="F38" s="13">
        <v>0.30632140692746401</v>
      </c>
      <c r="G38" s="13">
        <v>0.2947336770194427</v>
      </c>
      <c r="H38" s="13">
        <v>0.2709500597992095</v>
      </c>
      <c r="I38" s="13">
        <v>0.37846181425559144</v>
      </c>
      <c r="J38" s="13">
        <v>0.27002047909939242</v>
      </c>
      <c r="K38" s="13">
        <v>0.42507618949413156</v>
      </c>
      <c r="L38" s="13">
        <v>0.22274895312700113</v>
      </c>
      <c r="M38" s="13">
        <v>0.50805696429703995</v>
      </c>
      <c r="N38" s="13">
        <v>0.30632140692746401</v>
      </c>
      <c r="O38" s="13">
        <v>0</v>
      </c>
      <c r="P38" s="13">
        <v>0.24630144968518736</v>
      </c>
      <c r="Q38" s="13">
        <v>0.10864028478653832</v>
      </c>
      <c r="R38" s="13">
        <v>0.39718041256573433</v>
      </c>
      <c r="S38" s="13">
        <v>0.32983484353145653</v>
      </c>
      <c r="T38" s="13">
        <v>0.27675413147931138</v>
      </c>
      <c r="U38" s="13">
        <v>0.49818141570369662</v>
      </c>
      <c r="V38" s="13">
        <v>0</v>
      </c>
      <c r="W38" s="13">
        <v>0.30632140692746401</v>
      </c>
      <c r="X38" s="13">
        <v>0.25077534502034649</v>
      </c>
      <c r="Y38" s="13">
        <v>0.36169370290984437</v>
      </c>
      <c r="Z38" s="13">
        <v>1</v>
      </c>
      <c r="AA38" s="13">
        <v>0</v>
      </c>
      <c r="AB38" s="13">
        <v>1</v>
      </c>
      <c r="AC38" s="13">
        <v>0.30632140692746401</v>
      </c>
      <c r="AD38" s="13">
        <v>0.26829468102140219</v>
      </c>
      <c r="AE38" s="13">
        <v>0.23727659887211483</v>
      </c>
      <c r="AF38" s="13">
        <v>0.28900692812678774</v>
      </c>
      <c r="AG38" s="13">
        <v>0.30018249952671655</v>
      </c>
      <c r="AH38" s="13">
        <v>0.27741893736759865</v>
      </c>
      <c r="AI38" s="13">
        <v>0.31303405615198637</v>
      </c>
      <c r="AJ38" s="13">
        <v>0.64569064776708829</v>
      </c>
      <c r="AK38" s="13">
        <v>0.30632140692746401</v>
      </c>
      <c r="AL38" s="13">
        <v>0.33048494424151748</v>
      </c>
      <c r="AM38" s="13">
        <v>0.38297519138564817</v>
      </c>
      <c r="AN38" s="13">
        <v>0.25166348387428339</v>
      </c>
      <c r="AO38" s="13">
        <v>0.26275105863249565</v>
      </c>
      <c r="AP38" s="13">
        <v>0.30632140692746401</v>
      </c>
      <c r="AQ38" s="13">
        <v>0.26820116471788946</v>
      </c>
      <c r="AR38" s="13">
        <v>0.31207217488174632</v>
      </c>
      <c r="AS38" s="13">
        <v>0</v>
      </c>
      <c r="AT38" s="13">
        <v>0</v>
      </c>
      <c r="AU38" s="13">
        <v>0.30632140692746401</v>
      </c>
      <c r="AV38" s="13">
        <v>0.24865793562545885</v>
      </c>
      <c r="AW38" s="13">
        <v>0.34898677601469158</v>
      </c>
      <c r="AX38" s="13">
        <v>1</v>
      </c>
      <c r="AY38" s="14">
        <v>0</v>
      </c>
      <c r="AZ38" s="24"/>
    </row>
    <row r="39" spans="1:52" ht="15.5" x14ac:dyDescent="0.35">
      <c r="A39" s="80"/>
      <c r="B39" s="31" t="s">
        <v>74</v>
      </c>
      <c r="C39" s="21">
        <v>0.11856740846706097</v>
      </c>
      <c r="D39" s="22">
        <v>0.11856740846706097</v>
      </c>
      <c r="E39" s="22">
        <v>0</v>
      </c>
      <c r="F39" s="22">
        <v>0.11856740846706097</v>
      </c>
      <c r="G39" s="22">
        <v>3.0417800179266461E-2</v>
      </c>
      <c r="H39" s="22">
        <v>0.20395933460412999</v>
      </c>
      <c r="I39" s="22">
        <v>0.12252536826197705</v>
      </c>
      <c r="J39" s="22">
        <v>9.6382193368509519E-2</v>
      </c>
      <c r="K39" s="22">
        <v>0.10178885161175626</v>
      </c>
      <c r="L39" s="22">
        <v>0.25531691754570646</v>
      </c>
      <c r="M39" s="22">
        <v>0</v>
      </c>
      <c r="N39" s="22">
        <v>0.11856740846706097</v>
      </c>
      <c r="O39" s="22">
        <v>0</v>
      </c>
      <c r="P39" s="22">
        <v>0</v>
      </c>
      <c r="Q39" s="22">
        <v>5.6091161050643344E-2</v>
      </c>
      <c r="R39" s="22">
        <v>0.10767634190661475</v>
      </c>
      <c r="S39" s="22">
        <v>0.15766240243928967</v>
      </c>
      <c r="T39" s="22">
        <v>0.21036172025987046</v>
      </c>
      <c r="U39" s="22">
        <v>0.10089301559937057</v>
      </c>
      <c r="V39" s="22">
        <v>0</v>
      </c>
      <c r="W39" s="22">
        <v>0.11856740846706097</v>
      </c>
      <c r="X39" s="22">
        <v>0.12234205794631442</v>
      </c>
      <c r="Y39" s="22">
        <v>0.11598100486653609</v>
      </c>
      <c r="Z39" s="22">
        <v>0</v>
      </c>
      <c r="AA39" s="22">
        <v>0</v>
      </c>
      <c r="AB39" s="22">
        <v>0</v>
      </c>
      <c r="AC39" s="22">
        <v>0.11856740846706097</v>
      </c>
      <c r="AD39" s="22">
        <v>0</v>
      </c>
      <c r="AE39" s="22">
        <v>0.12018152914314766</v>
      </c>
      <c r="AF39" s="22">
        <v>0.13272374714570745</v>
      </c>
      <c r="AG39" s="22">
        <v>0.13882670535742409</v>
      </c>
      <c r="AH39" s="22">
        <v>0.11786323542050216</v>
      </c>
      <c r="AI39" s="22">
        <v>0.11291032913607028</v>
      </c>
      <c r="AJ39" s="22">
        <v>9.8253707025378431E-2</v>
      </c>
      <c r="AK39" s="22">
        <v>0.11856740846706097</v>
      </c>
      <c r="AL39" s="22">
        <v>0.11268970441937329</v>
      </c>
      <c r="AM39" s="22">
        <v>0.11618000659370786</v>
      </c>
      <c r="AN39" s="22">
        <v>9.6590083792155904E-2</v>
      </c>
      <c r="AO39" s="22">
        <v>0.29705258704209037</v>
      </c>
      <c r="AP39" s="22">
        <v>0.11856740846706097</v>
      </c>
      <c r="AQ39" s="22">
        <v>6.2898311426825351E-2</v>
      </c>
      <c r="AR39" s="22">
        <v>0.12100118679908116</v>
      </c>
      <c r="AS39" s="22">
        <v>0</v>
      </c>
      <c r="AT39" s="22">
        <v>0.25828451518904177</v>
      </c>
      <c r="AU39" s="22">
        <v>0.11856740846706097</v>
      </c>
      <c r="AV39" s="22">
        <v>7.2245050136033551E-2</v>
      </c>
      <c r="AW39" s="22">
        <v>0.1468588107510288</v>
      </c>
      <c r="AX39" s="22">
        <v>0</v>
      </c>
      <c r="AY39" s="23">
        <v>0.25842715189908483</v>
      </c>
      <c r="AZ39" s="24"/>
    </row>
    <row r="40" spans="1:52" ht="15.5" x14ac:dyDescent="0.35">
      <c r="B40" s="7" t="s">
        <v>78</v>
      </c>
      <c r="C40" s="8">
        <f>SUM(C34:C36)</f>
        <v>0.42591281858800112</v>
      </c>
      <c r="D40" s="8">
        <f t="shared" ref="D40:AY40" si="3">SUM(D34:D36)</f>
        <v>0.42591281858800112</v>
      </c>
      <c r="E40" s="8"/>
      <c r="F40" s="8">
        <f t="shared" si="3"/>
        <v>0.42591281858800112</v>
      </c>
      <c r="G40" s="8">
        <f t="shared" si="3"/>
        <v>0.54239139779546419</v>
      </c>
      <c r="H40" s="8">
        <f t="shared" si="3"/>
        <v>0.33277306466568007</v>
      </c>
      <c r="I40" s="8">
        <f t="shared" si="3"/>
        <v>0.43676295083387473</v>
      </c>
      <c r="J40" s="8">
        <f t="shared" si="3"/>
        <v>0.49642777115717218</v>
      </c>
      <c r="K40" s="8">
        <f t="shared" si="3"/>
        <v>0.29434971702722779</v>
      </c>
      <c r="L40" s="8">
        <f t="shared" si="3"/>
        <v>0.40292666231215279</v>
      </c>
      <c r="M40" s="8">
        <f t="shared" si="3"/>
        <v>0</v>
      </c>
      <c r="N40" s="8">
        <f t="shared" si="3"/>
        <v>0.42591281858800112</v>
      </c>
      <c r="O40" s="8">
        <f t="shared" si="3"/>
        <v>0</v>
      </c>
      <c r="P40" s="8">
        <f t="shared" si="3"/>
        <v>0.64937881861258684</v>
      </c>
      <c r="Q40" s="8">
        <f t="shared" si="3"/>
        <v>0.63842752472316722</v>
      </c>
      <c r="R40" s="8">
        <f t="shared" si="3"/>
        <v>0.35750357504347341</v>
      </c>
      <c r="S40" s="8">
        <f t="shared" si="3"/>
        <v>0.34885377050444893</v>
      </c>
      <c r="T40" s="8">
        <f t="shared" si="3"/>
        <v>0.45726018659770856</v>
      </c>
      <c r="U40" s="8">
        <f t="shared" si="3"/>
        <v>0.30568787965142336</v>
      </c>
      <c r="V40" s="8">
        <f t="shared" si="3"/>
        <v>0</v>
      </c>
      <c r="W40" s="8">
        <f t="shared" si="3"/>
        <v>0.42591281858800112</v>
      </c>
      <c r="X40" s="8">
        <f t="shared" si="3"/>
        <v>0.46310291812309545</v>
      </c>
      <c r="Y40" s="8">
        <f t="shared" si="3"/>
        <v>0.38820446310873008</v>
      </c>
      <c r="Z40" s="8">
        <f t="shared" si="3"/>
        <v>0</v>
      </c>
      <c r="AA40" s="8">
        <f t="shared" si="3"/>
        <v>0</v>
      </c>
      <c r="AB40" s="8">
        <f t="shared" si="3"/>
        <v>0</v>
      </c>
      <c r="AC40" s="8">
        <f t="shared" si="3"/>
        <v>0.42591281858800112</v>
      </c>
      <c r="AD40" s="8">
        <f t="shared" si="3"/>
        <v>0.53029836813341646</v>
      </c>
      <c r="AE40" s="8">
        <f t="shared" si="3"/>
        <v>0.53481839860441693</v>
      </c>
      <c r="AF40" s="8">
        <f t="shared" si="3"/>
        <v>0.46158236091951721</v>
      </c>
      <c r="AG40" s="8">
        <f t="shared" si="3"/>
        <v>0.44907855806398994</v>
      </c>
      <c r="AH40" s="8">
        <f t="shared" si="3"/>
        <v>0.43213079949681754</v>
      </c>
      <c r="AI40" s="8">
        <f t="shared" si="3"/>
        <v>0.39618592997714297</v>
      </c>
      <c r="AJ40" s="8">
        <f t="shared" si="3"/>
        <v>0.12666594420725494</v>
      </c>
      <c r="AK40" s="8">
        <f t="shared" si="3"/>
        <v>0.42591281858800112</v>
      </c>
      <c r="AL40" s="8">
        <f t="shared" si="3"/>
        <v>0.30114173565614449</v>
      </c>
      <c r="AM40" s="8">
        <f t="shared" si="3"/>
        <v>0.34932579444600764</v>
      </c>
      <c r="AN40" s="8">
        <f t="shared" si="3"/>
        <v>0.53977804401606666</v>
      </c>
      <c r="AO40" s="8">
        <f t="shared" si="3"/>
        <v>0.34369322781133593</v>
      </c>
      <c r="AP40" s="8">
        <f t="shared" si="3"/>
        <v>0.42591281858800112</v>
      </c>
      <c r="AQ40" s="8">
        <f t="shared" si="3"/>
        <v>0.57175602032719219</v>
      </c>
      <c r="AR40" s="8">
        <f t="shared" si="3"/>
        <v>0.41260939726101564</v>
      </c>
      <c r="AS40" s="8">
        <f t="shared" si="3"/>
        <v>0</v>
      </c>
      <c r="AT40" s="8">
        <f t="shared" si="3"/>
        <v>0.74171548481095839</v>
      </c>
      <c r="AU40" s="8">
        <f t="shared" si="3"/>
        <v>0.42591281858800112</v>
      </c>
      <c r="AV40" s="8">
        <f t="shared" si="3"/>
        <v>0.55075380622874559</v>
      </c>
      <c r="AW40" s="8">
        <f t="shared" si="3"/>
        <v>0.33439917439338401</v>
      </c>
      <c r="AX40" s="8">
        <f t="shared" si="3"/>
        <v>0</v>
      </c>
      <c r="AY40" s="8">
        <f t="shared" si="3"/>
        <v>0.74157284810091517</v>
      </c>
    </row>
  </sheetData>
  <mergeCells count="14">
    <mergeCell ref="A26:A32"/>
    <mergeCell ref="A33:A39"/>
    <mergeCell ref="AP1:AT1"/>
    <mergeCell ref="AU1:AY1"/>
    <mergeCell ref="A3:A9"/>
    <mergeCell ref="A12:A17"/>
    <mergeCell ref="A19:A25"/>
    <mergeCell ref="F1:M1"/>
    <mergeCell ref="N1:V1"/>
    <mergeCell ref="W1:AB1"/>
    <mergeCell ref="AC1:AJ1"/>
    <mergeCell ref="AK1:AO1"/>
    <mergeCell ref="A1:B2"/>
    <mergeCell ref="C1:E1"/>
  </mergeCells>
  <conditionalFormatting sqref="C10:AW1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:AW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AW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40:AW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3B71A-83A6-47DB-8516-2A761ED94D07}">
  <dimension ref="A1:AZ4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0" sqref="A40:XFD40"/>
    </sheetView>
  </sheetViews>
  <sheetFormatPr defaultRowHeight="14.5" x14ac:dyDescent="0.35"/>
  <cols>
    <col min="1" max="1" width="25.6328125" style="5" customWidth="1"/>
    <col min="2" max="2" width="15.7265625" customWidth="1"/>
  </cols>
  <sheetData>
    <row r="1" spans="1:52" ht="15.5" x14ac:dyDescent="0.35">
      <c r="A1" s="123" t="s">
        <v>0</v>
      </c>
      <c r="B1" s="123"/>
      <c r="C1" s="124" t="s">
        <v>1</v>
      </c>
      <c r="D1" s="125"/>
      <c r="E1" s="125"/>
      <c r="F1" s="125" t="s">
        <v>2</v>
      </c>
      <c r="G1" s="125"/>
      <c r="H1" s="125"/>
      <c r="I1" s="125"/>
      <c r="J1" s="125"/>
      <c r="K1" s="125"/>
      <c r="L1" s="125"/>
      <c r="M1" s="125"/>
      <c r="N1" s="125" t="s">
        <v>3</v>
      </c>
      <c r="O1" s="125"/>
      <c r="P1" s="125"/>
      <c r="Q1" s="125"/>
      <c r="R1" s="125"/>
      <c r="S1" s="125"/>
      <c r="T1" s="125"/>
      <c r="U1" s="125"/>
      <c r="V1" s="125"/>
      <c r="W1" s="125" t="s">
        <v>4</v>
      </c>
      <c r="X1" s="125"/>
      <c r="Y1" s="125"/>
      <c r="Z1" s="125"/>
      <c r="AA1" s="125"/>
      <c r="AB1" s="125"/>
      <c r="AC1" s="125" t="s">
        <v>5</v>
      </c>
      <c r="AD1" s="125"/>
      <c r="AE1" s="125"/>
      <c r="AF1" s="125"/>
      <c r="AG1" s="125"/>
      <c r="AH1" s="125"/>
      <c r="AI1" s="125"/>
      <c r="AJ1" s="125"/>
      <c r="AK1" s="125" t="s">
        <v>6</v>
      </c>
      <c r="AL1" s="125"/>
      <c r="AM1" s="125"/>
      <c r="AN1" s="125"/>
      <c r="AO1" s="125"/>
      <c r="AP1" s="125" t="s">
        <v>7</v>
      </c>
      <c r="AQ1" s="125"/>
      <c r="AR1" s="125"/>
      <c r="AS1" s="125"/>
      <c r="AT1" s="125"/>
      <c r="AU1" s="125" t="s">
        <v>8</v>
      </c>
      <c r="AV1" s="125"/>
      <c r="AW1" s="125"/>
      <c r="AX1" s="125"/>
      <c r="AY1" s="126"/>
      <c r="AZ1" s="3"/>
    </row>
    <row r="2" spans="1:52" ht="15.5" x14ac:dyDescent="0.35">
      <c r="A2" s="127"/>
      <c r="B2" s="127"/>
      <c r="C2" s="128" t="s">
        <v>9</v>
      </c>
      <c r="D2" s="129" t="s">
        <v>10</v>
      </c>
      <c r="E2" s="129" t="s">
        <v>11</v>
      </c>
      <c r="F2" s="129" t="s">
        <v>9</v>
      </c>
      <c r="G2" s="129" t="s">
        <v>12</v>
      </c>
      <c r="H2" s="129" t="s">
        <v>13</v>
      </c>
      <c r="I2" s="129" t="s">
        <v>14</v>
      </c>
      <c r="J2" s="129" t="s">
        <v>15</v>
      </c>
      <c r="K2" s="129" t="s">
        <v>16</v>
      </c>
      <c r="L2" s="129" t="s">
        <v>17</v>
      </c>
      <c r="M2" s="129" t="s">
        <v>18</v>
      </c>
      <c r="N2" s="129" t="s">
        <v>9</v>
      </c>
      <c r="O2" s="129" t="s">
        <v>19</v>
      </c>
      <c r="P2" s="129" t="s">
        <v>20</v>
      </c>
      <c r="Q2" s="129" t="s">
        <v>21</v>
      </c>
      <c r="R2" s="129" t="s">
        <v>22</v>
      </c>
      <c r="S2" s="129" t="s">
        <v>23</v>
      </c>
      <c r="T2" s="129" t="s">
        <v>24</v>
      </c>
      <c r="U2" s="129" t="s">
        <v>25</v>
      </c>
      <c r="V2" s="129" t="s">
        <v>26</v>
      </c>
      <c r="W2" s="129" t="s">
        <v>9</v>
      </c>
      <c r="X2" s="129" t="s">
        <v>27</v>
      </c>
      <c r="Y2" s="129" t="s">
        <v>28</v>
      </c>
      <c r="Z2" s="129" t="s">
        <v>29</v>
      </c>
      <c r="AA2" s="129" t="s">
        <v>30</v>
      </c>
      <c r="AB2" s="129" t="s">
        <v>31</v>
      </c>
      <c r="AC2" s="129" t="s">
        <v>9</v>
      </c>
      <c r="AD2" s="129" t="s">
        <v>32</v>
      </c>
      <c r="AE2" s="129" t="s">
        <v>33</v>
      </c>
      <c r="AF2" s="129" t="s">
        <v>34</v>
      </c>
      <c r="AG2" s="129" t="s">
        <v>35</v>
      </c>
      <c r="AH2" s="129" t="s">
        <v>36</v>
      </c>
      <c r="AI2" s="129" t="s">
        <v>37</v>
      </c>
      <c r="AJ2" s="129" t="s">
        <v>38</v>
      </c>
      <c r="AK2" s="129" t="s">
        <v>9</v>
      </c>
      <c r="AL2" s="129" t="s">
        <v>39</v>
      </c>
      <c r="AM2" s="129" t="s">
        <v>40</v>
      </c>
      <c r="AN2" s="129" t="s">
        <v>41</v>
      </c>
      <c r="AO2" s="129" t="s">
        <v>38</v>
      </c>
      <c r="AP2" s="129" t="s">
        <v>9</v>
      </c>
      <c r="AQ2" s="129" t="s">
        <v>42</v>
      </c>
      <c r="AR2" s="129" t="s">
        <v>43</v>
      </c>
      <c r="AS2" s="129" t="s">
        <v>44</v>
      </c>
      <c r="AT2" s="129" t="s">
        <v>31</v>
      </c>
      <c r="AU2" s="129" t="s">
        <v>9</v>
      </c>
      <c r="AV2" s="129" t="s">
        <v>45</v>
      </c>
      <c r="AW2" s="129" t="s">
        <v>46</v>
      </c>
      <c r="AX2" s="129" t="s">
        <v>44</v>
      </c>
      <c r="AY2" s="130" t="s">
        <v>31</v>
      </c>
      <c r="AZ2" s="3"/>
    </row>
    <row r="3" spans="1:52" ht="15.5" x14ac:dyDescent="0.35">
      <c r="A3" s="105" t="s">
        <v>47</v>
      </c>
      <c r="B3" s="131" t="s">
        <v>9</v>
      </c>
      <c r="C3" s="106">
        <v>1817.9999999999968</v>
      </c>
      <c r="D3" s="107">
        <v>1817.9999999999968</v>
      </c>
      <c r="E3" s="107">
        <v>0</v>
      </c>
      <c r="F3" s="107">
        <v>1817.9999999999968</v>
      </c>
      <c r="G3" s="107">
        <v>241.55366174859435</v>
      </c>
      <c r="H3" s="107">
        <v>208.96781077844082</v>
      </c>
      <c r="I3" s="107">
        <v>112.26704986601821</v>
      </c>
      <c r="J3" s="107">
        <v>716.89971230206015</v>
      </c>
      <c r="K3" s="107">
        <v>408.58952803109776</v>
      </c>
      <c r="L3" s="107">
        <v>125.8078847674268</v>
      </c>
      <c r="M3" s="107">
        <v>3.914352506362663</v>
      </c>
      <c r="N3" s="107">
        <v>1817.9999999999968</v>
      </c>
      <c r="O3" s="107">
        <v>0</v>
      </c>
      <c r="P3" s="107">
        <v>12.774495795796236</v>
      </c>
      <c r="Q3" s="107">
        <v>170.97876486842171</v>
      </c>
      <c r="R3" s="107">
        <v>670.33746968585956</v>
      </c>
      <c r="S3" s="107">
        <v>764.01327035193731</v>
      </c>
      <c r="T3" s="107">
        <v>164.0537387517324</v>
      </c>
      <c r="U3" s="107">
        <v>35.842260546255169</v>
      </c>
      <c r="V3" s="107">
        <v>0</v>
      </c>
      <c r="W3" s="107">
        <v>1817.9999999999968</v>
      </c>
      <c r="X3" s="107">
        <v>912.0211379520116</v>
      </c>
      <c r="Y3" s="107">
        <v>899.64522088956255</v>
      </c>
      <c r="Z3" s="107">
        <v>3.2140375173645479</v>
      </c>
      <c r="AA3" s="107">
        <v>1.974382007782447</v>
      </c>
      <c r="AB3" s="107">
        <v>1.1452216332786433</v>
      </c>
      <c r="AC3" s="107">
        <v>1817.9999999999968</v>
      </c>
      <c r="AD3" s="107">
        <v>74.905128971797367</v>
      </c>
      <c r="AE3" s="107">
        <v>133.70738058843813</v>
      </c>
      <c r="AF3" s="107">
        <v>207.00182042104095</v>
      </c>
      <c r="AG3" s="107">
        <v>313.31351270478274</v>
      </c>
      <c r="AH3" s="107">
        <v>510.38091953462987</v>
      </c>
      <c r="AI3" s="107">
        <v>467.85262992409764</v>
      </c>
      <c r="AJ3" s="107">
        <v>110.83860785521935</v>
      </c>
      <c r="AK3" s="107">
        <v>1817.9999999999968</v>
      </c>
      <c r="AL3" s="107">
        <v>411.19571370753988</v>
      </c>
      <c r="AM3" s="107">
        <v>524.81748319960616</v>
      </c>
      <c r="AN3" s="107">
        <v>730.77106016039147</v>
      </c>
      <c r="AO3" s="107">
        <v>151.21574293246778</v>
      </c>
      <c r="AP3" s="107">
        <v>1817.9999999999968</v>
      </c>
      <c r="AQ3" s="107">
        <v>116.7268776413709</v>
      </c>
      <c r="AR3" s="107">
        <v>1672.2089288803213</v>
      </c>
      <c r="AS3" s="107">
        <v>8.9409987056788349</v>
      </c>
      <c r="AT3" s="107">
        <v>20.123194772627112</v>
      </c>
      <c r="AU3" s="107">
        <v>1817.9999999999968</v>
      </c>
      <c r="AV3" s="107">
        <v>622.87666995531549</v>
      </c>
      <c r="AW3" s="107">
        <v>1160.4258257155011</v>
      </c>
      <c r="AX3" s="107">
        <v>5.639757471894006</v>
      </c>
      <c r="AY3" s="108">
        <v>29.057746857286272</v>
      </c>
      <c r="AZ3" s="3"/>
    </row>
    <row r="4" spans="1:52" ht="15.5" x14ac:dyDescent="0.35">
      <c r="A4" s="109"/>
      <c r="B4" s="132" t="s">
        <v>48</v>
      </c>
      <c r="C4" s="110">
        <v>0.58600452022468807</v>
      </c>
      <c r="D4" s="111">
        <v>0.58600452022468807</v>
      </c>
      <c r="E4" s="111">
        <v>0</v>
      </c>
      <c r="F4" s="111">
        <v>0.58600452022468807</v>
      </c>
      <c r="G4" s="111">
        <v>0.65251601524486103</v>
      </c>
      <c r="H4" s="111">
        <v>0.64575564837752975</v>
      </c>
      <c r="I4" s="111">
        <v>0.54980317821524705</v>
      </c>
      <c r="J4" s="111">
        <v>0.57048870346335423</v>
      </c>
      <c r="K4" s="111">
        <v>0.56605136643118104</v>
      </c>
      <c r="L4" s="111">
        <v>0.54760312610792738</v>
      </c>
      <c r="M4" s="111">
        <v>0.48871964017812219</v>
      </c>
      <c r="N4" s="111">
        <v>0.58600452022468807</v>
      </c>
      <c r="O4" s="111">
        <v>0</v>
      </c>
      <c r="P4" s="111">
        <v>0.42345672540334811</v>
      </c>
      <c r="Q4" s="111">
        <v>0.52640799260808402</v>
      </c>
      <c r="R4" s="111">
        <v>0.59502232738625982</v>
      </c>
      <c r="S4" s="111">
        <v>0.59046948848201619</v>
      </c>
      <c r="T4" s="111">
        <v>0.57332135887432678</v>
      </c>
      <c r="U4" s="111">
        <v>0.72245400005595206</v>
      </c>
      <c r="V4" s="111">
        <v>0</v>
      </c>
      <c r="W4" s="111">
        <v>0.58600452022468807</v>
      </c>
      <c r="X4" s="111">
        <v>0.56770415608061509</v>
      </c>
      <c r="Y4" s="111">
        <v>0.6063379595040671</v>
      </c>
      <c r="Z4" s="111">
        <v>0</v>
      </c>
      <c r="AA4" s="111">
        <v>0.48813156264445789</v>
      </c>
      <c r="AB4" s="111">
        <v>1</v>
      </c>
      <c r="AC4" s="111">
        <v>0.58600452022468807</v>
      </c>
      <c r="AD4" s="111">
        <v>0.62139345025816184</v>
      </c>
      <c r="AE4" s="111">
        <v>0.65282793631999936</v>
      </c>
      <c r="AF4" s="111">
        <v>0.58586127081056782</v>
      </c>
      <c r="AG4" s="111">
        <v>0.55035797116621277</v>
      </c>
      <c r="AH4" s="111">
        <v>0.58676006746960796</v>
      </c>
      <c r="AI4" s="111">
        <v>0.57150749946424784</v>
      </c>
      <c r="AJ4" s="111">
        <v>0.64022258198052018</v>
      </c>
      <c r="AK4" s="111">
        <v>0.58600452022468807</v>
      </c>
      <c r="AL4" s="111">
        <v>0.59267384404599577</v>
      </c>
      <c r="AM4" s="111">
        <v>0.58578499620794977</v>
      </c>
      <c r="AN4" s="111">
        <v>0.59707181942805998</v>
      </c>
      <c r="AO4" s="111">
        <v>0.51514649254281197</v>
      </c>
      <c r="AP4" s="111">
        <v>0.58600452022468807</v>
      </c>
      <c r="AQ4" s="111">
        <v>0.59274822573097197</v>
      </c>
      <c r="AR4" s="111">
        <v>0.58735963335104546</v>
      </c>
      <c r="AS4" s="111">
        <v>0.32644956254142671</v>
      </c>
      <c r="AT4" s="111">
        <v>0.54960257587158279</v>
      </c>
      <c r="AU4" s="111">
        <v>0.58600452022468807</v>
      </c>
      <c r="AV4" s="111">
        <v>0.61624017928829</v>
      </c>
      <c r="AW4" s="111">
        <v>0.5721395298019708</v>
      </c>
      <c r="AX4" s="111">
        <v>0.48456949040332165</v>
      </c>
      <c r="AY4" s="112">
        <v>0.51126628553165421</v>
      </c>
      <c r="AZ4" s="3"/>
    </row>
    <row r="5" spans="1:52" ht="15.5" x14ac:dyDescent="0.35">
      <c r="A5" s="109"/>
      <c r="B5" s="132" t="s">
        <v>49</v>
      </c>
      <c r="C5" s="110">
        <v>0.28146190408152372</v>
      </c>
      <c r="D5" s="111">
        <v>0.28146190408152372</v>
      </c>
      <c r="E5" s="111">
        <v>0</v>
      </c>
      <c r="F5" s="111">
        <v>0.28146190408152372</v>
      </c>
      <c r="G5" s="111">
        <v>0.22563791153824181</v>
      </c>
      <c r="H5" s="111">
        <v>0.26165288810402693</v>
      </c>
      <c r="I5" s="111">
        <v>0.299501580351758</v>
      </c>
      <c r="J5" s="111">
        <v>0.28651592539149584</v>
      </c>
      <c r="K5" s="111">
        <v>0.30579289034920559</v>
      </c>
      <c r="L5" s="111">
        <v>0.29843332042232368</v>
      </c>
      <c r="M5" s="111">
        <v>0.25564017991093896</v>
      </c>
      <c r="N5" s="111">
        <v>0.28146190408152372</v>
      </c>
      <c r="O5" s="111">
        <v>0</v>
      </c>
      <c r="P5" s="111">
        <v>0.49139790839797998</v>
      </c>
      <c r="Q5" s="111">
        <v>0.3064391338813291</v>
      </c>
      <c r="R5" s="111">
        <v>0.27336274873326527</v>
      </c>
      <c r="S5" s="111">
        <v>0.27392365054663137</v>
      </c>
      <c r="T5" s="111">
        <v>0.31969769603552084</v>
      </c>
      <c r="U5" s="111">
        <v>0.22463976005367292</v>
      </c>
      <c r="V5" s="111">
        <v>0</v>
      </c>
      <c r="W5" s="111">
        <v>0.28146190408152372</v>
      </c>
      <c r="X5" s="111">
        <v>0.28321618637272145</v>
      </c>
      <c r="Y5" s="111">
        <v>0.27809246324165754</v>
      </c>
      <c r="Z5" s="111">
        <v>0.68555941627738304</v>
      </c>
      <c r="AA5" s="111">
        <v>0.51186843735554211</v>
      </c>
      <c r="AB5" s="111">
        <v>0</v>
      </c>
      <c r="AC5" s="111">
        <v>0.28146190408152372</v>
      </c>
      <c r="AD5" s="111">
        <v>0.17662350071646915</v>
      </c>
      <c r="AE5" s="111">
        <v>0.24364644586692105</v>
      </c>
      <c r="AF5" s="111">
        <v>0.2875408128945196</v>
      </c>
      <c r="AG5" s="111">
        <v>0.3197836617615667</v>
      </c>
      <c r="AH5" s="111">
        <v>0.27153620588405331</v>
      </c>
      <c r="AI5" s="111">
        <v>0.30214987071482169</v>
      </c>
      <c r="AJ5" s="111">
        <v>0.23663129466108312</v>
      </c>
      <c r="AK5" s="111">
        <v>0.28146190408152372</v>
      </c>
      <c r="AL5" s="111">
        <v>0.2986065590468665</v>
      </c>
      <c r="AM5" s="111">
        <v>0.25638098560944633</v>
      </c>
      <c r="AN5" s="111">
        <v>0.28598968086444471</v>
      </c>
      <c r="AO5" s="111">
        <v>0.30000711359406934</v>
      </c>
      <c r="AP5" s="111">
        <v>0.28146190408152372</v>
      </c>
      <c r="AQ5" s="111">
        <v>0.26730083326981896</v>
      </c>
      <c r="AR5" s="111">
        <v>0.28194292208090393</v>
      </c>
      <c r="AS5" s="111">
        <v>0.45272700679098726</v>
      </c>
      <c r="AT5" s="111">
        <v>0.24753756537812108</v>
      </c>
      <c r="AU5" s="111">
        <v>0.28146190408152372</v>
      </c>
      <c r="AV5" s="111">
        <v>0.26078006512088597</v>
      </c>
      <c r="AW5" s="111">
        <v>0.29317542161007087</v>
      </c>
      <c r="AX5" s="111">
        <v>0.51543050959667835</v>
      </c>
      <c r="AY5" s="112">
        <v>0.21160241116015638</v>
      </c>
      <c r="AZ5" s="3"/>
    </row>
    <row r="6" spans="1:52" ht="15.5" x14ac:dyDescent="0.35">
      <c r="A6" s="109"/>
      <c r="B6" s="132" t="s">
        <v>50</v>
      </c>
      <c r="C6" s="110">
        <v>6.3229205679234346E-2</v>
      </c>
      <c r="D6" s="111">
        <v>6.3229205679234346E-2</v>
      </c>
      <c r="E6" s="111">
        <v>0</v>
      </c>
      <c r="F6" s="111">
        <v>6.3229205679234346E-2</v>
      </c>
      <c r="G6" s="111">
        <v>6.9797691402181436E-2</v>
      </c>
      <c r="H6" s="111">
        <v>3.9904049156478383E-2</v>
      </c>
      <c r="I6" s="111">
        <v>4.9837653758806957E-2</v>
      </c>
      <c r="J6" s="111">
        <v>7.1813617694291815E-2</v>
      </c>
      <c r="K6" s="111">
        <v>5.5368674981156704E-2</v>
      </c>
      <c r="L6" s="111">
        <v>7.1936122501269115E-2</v>
      </c>
      <c r="M6" s="111">
        <v>0.25564017991093896</v>
      </c>
      <c r="N6" s="111">
        <v>6.3229205679234346E-2</v>
      </c>
      <c r="O6" s="111">
        <v>0</v>
      </c>
      <c r="P6" s="111">
        <v>0</v>
      </c>
      <c r="Q6" s="111">
        <v>8.0294099918469558E-2</v>
      </c>
      <c r="R6" s="111">
        <v>6.4085292456365128E-2</v>
      </c>
      <c r="S6" s="111">
        <v>6.6992772153735891E-2</v>
      </c>
      <c r="T6" s="111">
        <v>3.7281759221044514E-2</v>
      </c>
      <c r="U6" s="111">
        <v>2.688887810165317E-2</v>
      </c>
      <c r="V6" s="111">
        <v>0</v>
      </c>
      <c r="W6" s="111">
        <v>6.3229205679234346E-2</v>
      </c>
      <c r="X6" s="111">
        <v>7.3555035316843986E-2</v>
      </c>
      <c r="Y6" s="111">
        <v>5.3206472731271617E-2</v>
      </c>
      <c r="Z6" s="111">
        <v>0</v>
      </c>
      <c r="AA6" s="111">
        <v>0</v>
      </c>
      <c r="AB6" s="111">
        <v>0</v>
      </c>
      <c r="AC6" s="111">
        <v>6.3229205679234346E-2</v>
      </c>
      <c r="AD6" s="111">
        <v>9.5693772220727433E-2</v>
      </c>
      <c r="AE6" s="111">
        <v>5.914940849764428E-2</v>
      </c>
      <c r="AF6" s="111">
        <v>4.9219100688646711E-2</v>
      </c>
      <c r="AG6" s="111">
        <v>6.7378743667603713E-2</v>
      </c>
      <c r="AH6" s="111">
        <v>6.9172126453413765E-2</v>
      </c>
      <c r="AI6" s="111">
        <v>5.9110324833240233E-2</v>
      </c>
      <c r="AJ6" s="111">
        <v>5.0667005598716182E-2</v>
      </c>
      <c r="AK6" s="111">
        <v>6.3229205679234346E-2</v>
      </c>
      <c r="AL6" s="111">
        <v>5.7005036977985819E-2</v>
      </c>
      <c r="AM6" s="111">
        <v>6.7441584597874457E-2</v>
      </c>
      <c r="AN6" s="111">
        <v>5.8531771275679656E-2</v>
      </c>
      <c r="AO6" s="111">
        <v>8.8235666215489311E-2</v>
      </c>
      <c r="AP6" s="111">
        <v>6.3229205679234346E-2</v>
      </c>
      <c r="AQ6" s="111">
        <v>6.318705059438505E-2</v>
      </c>
      <c r="AR6" s="111">
        <v>6.1339369482707663E-2</v>
      </c>
      <c r="AS6" s="111">
        <v>0.22082343066758608</v>
      </c>
      <c r="AT6" s="111">
        <v>0.15049526117304773</v>
      </c>
      <c r="AU6" s="111">
        <v>6.3229205679234346E-2</v>
      </c>
      <c r="AV6" s="111">
        <v>6.0692970759567783E-2</v>
      </c>
      <c r="AW6" s="111">
        <v>6.2995117182891358E-2</v>
      </c>
      <c r="AX6" s="111">
        <v>0</v>
      </c>
      <c r="AY6" s="112">
        <v>0.1392158709104129</v>
      </c>
      <c r="AZ6" s="3"/>
    </row>
    <row r="7" spans="1:52" ht="15.5" x14ac:dyDescent="0.35">
      <c r="A7" s="109"/>
      <c r="B7" s="132" t="s">
        <v>51</v>
      </c>
      <c r="C7" s="110">
        <v>5.1007474450378683E-2</v>
      </c>
      <c r="D7" s="111">
        <v>5.1007474450378683E-2</v>
      </c>
      <c r="E7" s="111">
        <v>0</v>
      </c>
      <c r="F7" s="111">
        <v>5.1007474450378683E-2</v>
      </c>
      <c r="G7" s="111">
        <v>4.3323670389438983E-2</v>
      </c>
      <c r="H7" s="111">
        <v>3.8191452098295275E-2</v>
      </c>
      <c r="I7" s="111">
        <v>8.286290281425078E-2</v>
      </c>
      <c r="J7" s="111">
        <v>4.7305115152475458E-2</v>
      </c>
      <c r="K7" s="111">
        <v>5.6275858919112416E-2</v>
      </c>
      <c r="L7" s="111">
        <v>6.4195415784225357E-2</v>
      </c>
      <c r="M7" s="111">
        <v>0</v>
      </c>
      <c r="N7" s="111">
        <v>5.1007474450378683E-2</v>
      </c>
      <c r="O7" s="111">
        <v>0</v>
      </c>
      <c r="P7" s="111">
        <v>0</v>
      </c>
      <c r="Q7" s="111">
        <v>4.3967972525702545E-2</v>
      </c>
      <c r="R7" s="111">
        <v>5.7039477224697446E-2</v>
      </c>
      <c r="S7" s="111">
        <v>4.9105660220200076E-2</v>
      </c>
      <c r="T7" s="111">
        <v>5.198542274546792E-2</v>
      </c>
      <c r="U7" s="111">
        <v>2.6017361788721941E-2</v>
      </c>
      <c r="V7" s="111">
        <v>0</v>
      </c>
      <c r="W7" s="111">
        <v>5.1007474450378683E-2</v>
      </c>
      <c r="X7" s="111">
        <v>5.676437165283385E-2</v>
      </c>
      <c r="Y7" s="111">
        <v>4.5530483316898629E-2</v>
      </c>
      <c r="Z7" s="111">
        <v>0</v>
      </c>
      <c r="AA7" s="111">
        <v>0</v>
      </c>
      <c r="AB7" s="111">
        <v>0</v>
      </c>
      <c r="AC7" s="111">
        <v>5.1007474450378683E-2</v>
      </c>
      <c r="AD7" s="111">
        <v>4.0009114601346242E-2</v>
      </c>
      <c r="AE7" s="111">
        <v>4.4376209315435518E-2</v>
      </c>
      <c r="AF7" s="111">
        <v>7.2723019957922075E-2</v>
      </c>
      <c r="AG7" s="111">
        <v>4.2854093091483997E-2</v>
      </c>
      <c r="AH7" s="111">
        <v>4.8532288292239122E-2</v>
      </c>
      <c r="AI7" s="111">
        <v>5.4507299453914554E-2</v>
      </c>
      <c r="AJ7" s="111">
        <v>4.5556081656567639E-2</v>
      </c>
      <c r="AK7" s="111">
        <v>5.1007474450378683E-2</v>
      </c>
      <c r="AL7" s="111">
        <v>4.4308143344852724E-2</v>
      </c>
      <c r="AM7" s="111">
        <v>6.5456742533435489E-2</v>
      </c>
      <c r="AN7" s="111">
        <v>3.9048303210456541E-2</v>
      </c>
      <c r="AO7" s="111">
        <v>7.6870680857778304E-2</v>
      </c>
      <c r="AP7" s="111">
        <v>5.1007474450378683E-2</v>
      </c>
      <c r="AQ7" s="111">
        <v>3.4694125015461895E-2</v>
      </c>
      <c r="AR7" s="111">
        <v>5.2402607805515602E-2</v>
      </c>
      <c r="AS7" s="111">
        <v>0</v>
      </c>
      <c r="AT7" s="111">
        <v>5.2364597577248373E-2</v>
      </c>
      <c r="AU7" s="111">
        <v>5.1007474450378683E-2</v>
      </c>
      <c r="AV7" s="111">
        <v>4.29868661653761E-2</v>
      </c>
      <c r="AW7" s="111">
        <v>5.3384334790515062E-2</v>
      </c>
      <c r="AX7" s="111">
        <v>0</v>
      </c>
      <c r="AY7" s="112">
        <v>0.13791543239777623</v>
      </c>
      <c r="AZ7" s="3"/>
    </row>
    <row r="8" spans="1:52" ht="15.5" x14ac:dyDescent="0.35">
      <c r="A8" s="109"/>
      <c r="B8" s="132" t="s">
        <v>52</v>
      </c>
      <c r="C8" s="110">
        <v>1.5375402426402458E-2</v>
      </c>
      <c r="D8" s="111">
        <v>1.5375402426402458E-2</v>
      </c>
      <c r="E8" s="111">
        <v>0</v>
      </c>
      <c r="F8" s="111">
        <v>1.5375402426402458E-2</v>
      </c>
      <c r="G8" s="111">
        <v>4.3623557126363406E-3</v>
      </c>
      <c r="H8" s="111">
        <v>9.6639748424492793E-3</v>
      </c>
      <c r="I8" s="111">
        <v>1.7994684859938711E-2</v>
      </c>
      <c r="J8" s="111">
        <v>2.1057209539460456E-2</v>
      </c>
      <c r="K8" s="111">
        <v>1.6511209319339616E-2</v>
      </c>
      <c r="L8" s="111">
        <v>8.0825942218851407E-3</v>
      </c>
      <c r="M8" s="111">
        <v>0</v>
      </c>
      <c r="N8" s="111">
        <v>1.5375402426402458E-2</v>
      </c>
      <c r="O8" s="111">
        <v>0</v>
      </c>
      <c r="P8" s="111">
        <v>8.5145366198672037E-2</v>
      </c>
      <c r="Q8" s="111">
        <v>3.5717079640090361E-2</v>
      </c>
      <c r="R8" s="111">
        <v>1.0490154199412689E-2</v>
      </c>
      <c r="S8" s="111">
        <v>1.5483641618321468E-2</v>
      </c>
      <c r="T8" s="111">
        <v>1.1558890697048978E-2</v>
      </c>
      <c r="U8" s="111">
        <v>0</v>
      </c>
      <c r="V8" s="111">
        <v>0</v>
      </c>
      <c r="W8" s="111">
        <v>1.5375402426402458E-2</v>
      </c>
      <c r="X8" s="111">
        <v>1.5199147045538786E-2</v>
      </c>
      <c r="Y8" s="111">
        <v>1.453896946268169E-2</v>
      </c>
      <c r="Z8" s="111">
        <v>0.31444058372261691</v>
      </c>
      <c r="AA8" s="111">
        <v>0</v>
      </c>
      <c r="AB8" s="111">
        <v>0</v>
      </c>
      <c r="AC8" s="111">
        <v>1.5375402426402458E-2</v>
      </c>
      <c r="AD8" s="111">
        <v>5.2800046128700887E-2</v>
      </c>
      <c r="AE8" s="111">
        <v>0</v>
      </c>
      <c r="AF8" s="111">
        <v>4.6557956483458326E-3</v>
      </c>
      <c r="AG8" s="111">
        <v>1.6262308002225046E-2</v>
      </c>
      <c r="AH8" s="111">
        <v>1.7635826176966709E-2</v>
      </c>
      <c r="AI8" s="111">
        <v>1.2725005533772926E-2</v>
      </c>
      <c r="AJ8" s="111">
        <v>2.6923036103111819E-2</v>
      </c>
      <c r="AK8" s="111">
        <v>1.5375402426402458E-2</v>
      </c>
      <c r="AL8" s="111">
        <v>7.4064165842970412E-3</v>
      </c>
      <c r="AM8" s="111">
        <v>2.0674621377179493E-2</v>
      </c>
      <c r="AN8" s="111">
        <v>1.6533509263617845E-2</v>
      </c>
      <c r="AO8" s="111">
        <v>1.3056722597092264E-2</v>
      </c>
      <c r="AP8" s="111">
        <v>1.5375402426402458E-2</v>
      </c>
      <c r="AQ8" s="111">
        <v>4.2069765389362052E-2</v>
      </c>
      <c r="AR8" s="111">
        <v>1.3779264574088073E-2</v>
      </c>
      <c r="AS8" s="111">
        <v>0</v>
      </c>
      <c r="AT8" s="111">
        <v>0</v>
      </c>
      <c r="AU8" s="111">
        <v>1.5375402426402458E-2</v>
      </c>
      <c r="AV8" s="111">
        <v>1.7677408333074761E-2</v>
      </c>
      <c r="AW8" s="111">
        <v>1.4599499597320409E-2</v>
      </c>
      <c r="AX8" s="111">
        <v>0</v>
      </c>
      <c r="AY8" s="112">
        <v>0</v>
      </c>
      <c r="AZ8" s="3"/>
    </row>
    <row r="9" spans="1:52" ht="15.5" x14ac:dyDescent="0.35">
      <c r="A9" s="113"/>
      <c r="B9" s="4" t="s">
        <v>53</v>
      </c>
      <c r="C9" s="2">
        <v>2.9214931377753699E-3</v>
      </c>
      <c r="D9" s="114">
        <v>2.9214931377753699E-3</v>
      </c>
      <c r="E9" s="114">
        <v>0</v>
      </c>
      <c r="F9" s="114">
        <v>2.9214931377753699E-3</v>
      </c>
      <c r="G9" s="114">
        <v>4.3623557126363406E-3</v>
      </c>
      <c r="H9" s="114">
        <v>4.8319874212246396E-3</v>
      </c>
      <c r="I9" s="114">
        <v>0</v>
      </c>
      <c r="J9" s="114">
        <v>2.8194287589298974E-3</v>
      </c>
      <c r="K9" s="114">
        <v>0</v>
      </c>
      <c r="L9" s="114">
        <v>9.7494209623712053E-3</v>
      </c>
      <c r="M9" s="114">
        <v>0</v>
      </c>
      <c r="N9" s="114">
        <v>2.9214931377753699E-3</v>
      </c>
      <c r="O9" s="114">
        <v>0</v>
      </c>
      <c r="P9" s="114">
        <v>0</v>
      </c>
      <c r="Q9" s="114">
        <v>7.1737214263247143E-3</v>
      </c>
      <c r="R9" s="114">
        <v>0</v>
      </c>
      <c r="S9" s="114">
        <v>4.0247869790975381E-3</v>
      </c>
      <c r="T9" s="114">
        <v>6.1548724265914614E-3</v>
      </c>
      <c r="U9" s="114">
        <v>0</v>
      </c>
      <c r="V9" s="114">
        <v>0</v>
      </c>
      <c r="W9" s="114">
        <v>2.9214931377753699E-3</v>
      </c>
      <c r="X9" s="114">
        <v>3.5611035314479979E-3</v>
      </c>
      <c r="Y9" s="114">
        <v>2.2936517434274115E-3</v>
      </c>
      <c r="Z9" s="114">
        <v>0</v>
      </c>
      <c r="AA9" s="114">
        <v>0</v>
      </c>
      <c r="AB9" s="114">
        <v>0</v>
      </c>
      <c r="AC9" s="114">
        <v>2.9214931377753699E-3</v>
      </c>
      <c r="AD9" s="114">
        <v>1.3480116074594192E-2</v>
      </c>
      <c r="AE9" s="114">
        <v>0</v>
      </c>
      <c r="AF9" s="114">
        <v>0</v>
      </c>
      <c r="AG9" s="114">
        <v>3.3632223109064823E-3</v>
      </c>
      <c r="AH9" s="114">
        <v>6.3634857237169174E-3</v>
      </c>
      <c r="AI9" s="114">
        <v>0</v>
      </c>
      <c r="AJ9" s="114">
        <v>0</v>
      </c>
      <c r="AK9" s="114">
        <v>2.9214931377753699E-3</v>
      </c>
      <c r="AL9" s="114">
        <v>0</v>
      </c>
      <c r="AM9" s="114">
        <v>4.2610696741115861E-3</v>
      </c>
      <c r="AN9" s="114">
        <v>2.8249159577427895E-3</v>
      </c>
      <c r="AO9" s="114">
        <v>6.6833241927584134E-3</v>
      </c>
      <c r="AP9" s="114">
        <v>2.9214931377753699E-3</v>
      </c>
      <c r="AQ9" s="114">
        <v>0</v>
      </c>
      <c r="AR9" s="114">
        <v>3.1762027057420034E-3</v>
      </c>
      <c r="AS9" s="114">
        <v>0</v>
      </c>
      <c r="AT9" s="114">
        <v>0</v>
      </c>
      <c r="AU9" s="114">
        <v>2.9214931377753699E-3</v>
      </c>
      <c r="AV9" s="114">
        <v>1.6225103328063324E-3</v>
      </c>
      <c r="AW9" s="114">
        <v>3.7060970172370978E-3</v>
      </c>
      <c r="AX9" s="114">
        <v>0</v>
      </c>
      <c r="AY9" s="115">
        <v>0</v>
      </c>
      <c r="AZ9" s="3"/>
    </row>
    <row r="10" spans="1:52" ht="15.5" x14ac:dyDescent="0.35">
      <c r="A10" s="1"/>
      <c r="B10" s="4" t="s">
        <v>75</v>
      </c>
      <c r="C10" s="6">
        <f>C4+C5</f>
        <v>0.86746642430621179</v>
      </c>
      <c r="D10" s="6">
        <f t="shared" ref="D10:AY10" si="0">D4+D5</f>
        <v>0.86746642430621179</v>
      </c>
      <c r="E10" s="6">
        <f t="shared" si="0"/>
        <v>0</v>
      </c>
      <c r="F10" s="6">
        <f t="shared" si="0"/>
        <v>0.86746642430621179</v>
      </c>
      <c r="G10" s="6">
        <f t="shared" si="0"/>
        <v>0.87815392678310289</v>
      </c>
      <c r="H10" s="6">
        <f t="shared" si="0"/>
        <v>0.90740853648155673</v>
      </c>
      <c r="I10" s="6">
        <f t="shared" si="0"/>
        <v>0.84930475856700505</v>
      </c>
      <c r="J10" s="6">
        <f t="shared" si="0"/>
        <v>0.85700462885485007</v>
      </c>
      <c r="K10" s="6">
        <f t="shared" si="0"/>
        <v>0.87184425678038657</v>
      </c>
      <c r="L10" s="6">
        <f t="shared" si="0"/>
        <v>0.84603644653025101</v>
      </c>
      <c r="M10" s="6">
        <f t="shared" si="0"/>
        <v>0.7443598200890611</v>
      </c>
      <c r="N10" s="6">
        <f t="shared" si="0"/>
        <v>0.86746642430621179</v>
      </c>
      <c r="O10" s="6">
        <f t="shared" si="0"/>
        <v>0</v>
      </c>
      <c r="P10" s="6">
        <f t="shared" si="0"/>
        <v>0.91485463380132814</v>
      </c>
      <c r="Q10" s="6">
        <f t="shared" si="0"/>
        <v>0.83284712648941306</v>
      </c>
      <c r="R10" s="6">
        <f t="shared" si="0"/>
        <v>0.86838507611952509</v>
      </c>
      <c r="S10" s="6">
        <f t="shared" si="0"/>
        <v>0.86439313902864756</v>
      </c>
      <c r="T10" s="6">
        <f t="shared" si="0"/>
        <v>0.89301905490984756</v>
      </c>
      <c r="U10" s="6">
        <f t="shared" si="0"/>
        <v>0.94709376010962498</v>
      </c>
      <c r="V10" s="6">
        <f t="shared" si="0"/>
        <v>0</v>
      </c>
      <c r="W10" s="6">
        <f t="shared" si="0"/>
        <v>0.86746642430621179</v>
      </c>
      <c r="X10" s="6">
        <f t="shared" si="0"/>
        <v>0.85092034245333648</v>
      </c>
      <c r="Y10" s="6">
        <f t="shared" si="0"/>
        <v>0.8844304227457247</v>
      </c>
      <c r="Z10" s="6">
        <f t="shared" si="0"/>
        <v>0.68555941627738304</v>
      </c>
      <c r="AA10" s="6">
        <f t="shared" si="0"/>
        <v>1</v>
      </c>
      <c r="AB10" s="6">
        <f t="shared" si="0"/>
        <v>1</v>
      </c>
      <c r="AC10" s="6">
        <f t="shared" si="0"/>
        <v>0.86746642430621179</v>
      </c>
      <c r="AD10" s="6">
        <f t="shared" si="0"/>
        <v>0.79801695097463099</v>
      </c>
      <c r="AE10" s="6">
        <f t="shared" si="0"/>
        <v>0.89647438218692044</v>
      </c>
      <c r="AF10" s="6">
        <f t="shared" si="0"/>
        <v>0.87340208370508743</v>
      </c>
      <c r="AG10" s="6">
        <f t="shared" si="0"/>
        <v>0.87014163292777946</v>
      </c>
      <c r="AH10" s="6">
        <f t="shared" si="0"/>
        <v>0.85829627335366121</v>
      </c>
      <c r="AI10" s="6">
        <f t="shared" si="0"/>
        <v>0.87365737017906953</v>
      </c>
      <c r="AJ10" s="6">
        <f t="shared" si="0"/>
        <v>0.8768538766416033</v>
      </c>
      <c r="AK10" s="6">
        <f t="shared" si="0"/>
        <v>0.86746642430621179</v>
      </c>
      <c r="AL10" s="6">
        <f t="shared" si="0"/>
        <v>0.89128040309286227</v>
      </c>
      <c r="AM10" s="6">
        <f t="shared" si="0"/>
        <v>0.8421659818173961</v>
      </c>
      <c r="AN10" s="6">
        <f t="shared" si="0"/>
        <v>0.88306150029250463</v>
      </c>
      <c r="AO10" s="6">
        <f t="shared" si="0"/>
        <v>0.81515360613688137</v>
      </c>
      <c r="AP10" s="6">
        <f t="shared" si="0"/>
        <v>0.86746642430621179</v>
      </c>
      <c r="AQ10" s="6">
        <f t="shared" si="0"/>
        <v>0.86004905900079098</v>
      </c>
      <c r="AR10" s="6">
        <f t="shared" si="0"/>
        <v>0.86930255543194934</v>
      </c>
      <c r="AS10" s="6">
        <f t="shared" si="0"/>
        <v>0.77917656933241397</v>
      </c>
      <c r="AT10" s="6">
        <f t="shared" si="0"/>
        <v>0.79714014124970389</v>
      </c>
      <c r="AU10" s="6">
        <f t="shared" si="0"/>
        <v>0.86746642430621179</v>
      </c>
      <c r="AV10" s="6">
        <f t="shared" si="0"/>
        <v>0.87702024440917592</v>
      </c>
      <c r="AW10" s="6">
        <f t="shared" si="0"/>
        <v>0.86531495141204173</v>
      </c>
      <c r="AX10" s="6">
        <f t="shared" si="0"/>
        <v>1</v>
      </c>
      <c r="AY10" s="6">
        <f t="shared" si="0"/>
        <v>0.72286869669181053</v>
      </c>
      <c r="AZ10" s="2"/>
    </row>
    <row r="11" spans="1:52" ht="15.5" x14ac:dyDescent="0.35">
      <c r="A11" s="1"/>
      <c r="B11" s="4" t="s">
        <v>76</v>
      </c>
      <c r="C11" s="6">
        <f>C7+C8</f>
        <v>6.6382876876781141E-2</v>
      </c>
      <c r="D11" s="6">
        <f t="shared" ref="D11:AY11" si="1">D7+D8</f>
        <v>6.6382876876781141E-2</v>
      </c>
      <c r="E11" s="6">
        <f t="shared" si="1"/>
        <v>0</v>
      </c>
      <c r="F11" s="6">
        <f t="shared" si="1"/>
        <v>6.6382876876781141E-2</v>
      </c>
      <c r="G11" s="6">
        <f t="shared" si="1"/>
        <v>4.7686026102075327E-2</v>
      </c>
      <c r="H11" s="6">
        <f t="shared" si="1"/>
        <v>4.7855426940744558E-2</v>
      </c>
      <c r="I11" s="6">
        <f t="shared" si="1"/>
        <v>0.10085758767418949</v>
      </c>
      <c r="J11" s="6">
        <f t="shared" si="1"/>
        <v>6.8362324691935913E-2</v>
      </c>
      <c r="K11" s="6">
        <f t="shared" si="1"/>
        <v>7.2787068238452032E-2</v>
      </c>
      <c r="L11" s="6">
        <f t="shared" si="1"/>
        <v>7.2278010006110505E-2</v>
      </c>
      <c r="M11" s="6">
        <f t="shared" si="1"/>
        <v>0</v>
      </c>
      <c r="N11" s="6">
        <f t="shared" si="1"/>
        <v>6.6382876876781141E-2</v>
      </c>
      <c r="O11" s="6">
        <f t="shared" si="1"/>
        <v>0</v>
      </c>
      <c r="P11" s="6">
        <f t="shared" si="1"/>
        <v>8.5145366198672037E-2</v>
      </c>
      <c r="Q11" s="6">
        <f t="shared" si="1"/>
        <v>7.9685052165792913E-2</v>
      </c>
      <c r="R11" s="6">
        <f t="shared" si="1"/>
        <v>6.7529631424110143E-2</v>
      </c>
      <c r="S11" s="6">
        <f t="shared" si="1"/>
        <v>6.4589301838521546E-2</v>
      </c>
      <c r="T11" s="6">
        <f t="shared" si="1"/>
        <v>6.3544313442516903E-2</v>
      </c>
      <c r="U11" s="6">
        <f t="shared" si="1"/>
        <v>2.6017361788721941E-2</v>
      </c>
      <c r="V11" s="6">
        <f t="shared" si="1"/>
        <v>0</v>
      </c>
      <c r="W11" s="6">
        <f t="shared" si="1"/>
        <v>6.6382876876781141E-2</v>
      </c>
      <c r="X11" s="6">
        <f t="shared" si="1"/>
        <v>7.1963518698372642E-2</v>
      </c>
      <c r="Y11" s="6">
        <f t="shared" si="1"/>
        <v>6.0069452779580319E-2</v>
      </c>
      <c r="Z11" s="6">
        <f t="shared" si="1"/>
        <v>0.31444058372261691</v>
      </c>
      <c r="AA11" s="6">
        <f t="shared" si="1"/>
        <v>0</v>
      </c>
      <c r="AB11" s="6">
        <f t="shared" si="1"/>
        <v>0</v>
      </c>
      <c r="AC11" s="6">
        <f t="shared" si="1"/>
        <v>6.6382876876781141E-2</v>
      </c>
      <c r="AD11" s="6">
        <f t="shared" si="1"/>
        <v>9.2809160730047136E-2</v>
      </c>
      <c r="AE11" s="6">
        <f t="shared" si="1"/>
        <v>4.4376209315435518E-2</v>
      </c>
      <c r="AF11" s="6">
        <f t="shared" si="1"/>
        <v>7.7378815606267914E-2</v>
      </c>
      <c r="AG11" s="6">
        <f t="shared" si="1"/>
        <v>5.911640109370904E-2</v>
      </c>
      <c r="AH11" s="6">
        <f t="shared" si="1"/>
        <v>6.6168114469205827E-2</v>
      </c>
      <c r="AI11" s="6">
        <f t="shared" si="1"/>
        <v>6.723230498768748E-2</v>
      </c>
      <c r="AJ11" s="6">
        <f t="shared" si="1"/>
        <v>7.2479117759679454E-2</v>
      </c>
      <c r="AK11" s="6">
        <f t="shared" si="1"/>
        <v>6.6382876876781141E-2</v>
      </c>
      <c r="AL11" s="6">
        <f t="shared" si="1"/>
        <v>5.1714559929149764E-2</v>
      </c>
      <c r="AM11" s="6">
        <f t="shared" si="1"/>
        <v>8.6131363910614989E-2</v>
      </c>
      <c r="AN11" s="6">
        <f t="shared" si="1"/>
        <v>5.5581812474074385E-2</v>
      </c>
      <c r="AO11" s="6">
        <f t="shared" si="1"/>
        <v>8.9927403454870575E-2</v>
      </c>
      <c r="AP11" s="6">
        <f t="shared" si="1"/>
        <v>6.6382876876781141E-2</v>
      </c>
      <c r="AQ11" s="6">
        <f t="shared" si="1"/>
        <v>7.6763890404823953E-2</v>
      </c>
      <c r="AR11" s="6">
        <f t="shared" si="1"/>
        <v>6.6181872379603671E-2</v>
      </c>
      <c r="AS11" s="6">
        <f t="shared" si="1"/>
        <v>0</v>
      </c>
      <c r="AT11" s="6">
        <f t="shared" si="1"/>
        <v>5.2364597577248373E-2</v>
      </c>
      <c r="AU11" s="6">
        <f t="shared" si="1"/>
        <v>6.6382876876781141E-2</v>
      </c>
      <c r="AV11" s="6">
        <f t="shared" si="1"/>
        <v>6.0664274498450861E-2</v>
      </c>
      <c r="AW11" s="6">
        <f t="shared" si="1"/>
        <v>6.7983834387835465E-2</v>
      </c>
      <c r="AX11" s="6">
        <f t="shared" si="1"/>
        <v>0</v>
      </c>
      <c r="AY11" s="6">
        <f t="shared" si="1"/>
        <v>0.13791543239777623</v>
      </c>
      <c r="AZ11" s="2"/>
    </row>
    <row r="12" spans="1:52" ht="15.5" x14ac:dyDescent="0.35">
      <c r="A12" s="113" t="s">
        <v>54</v>
      </c>
      <c r="B12" s="132" t="s">
        <v>9</v>
      </c>
      <c r="C12" s="116">
        <v>1817.9999999999968</v>
      </c>
      <c r="D12" s="117">
        <v>1817.9999999999968</v>
      </c>
      <c r="E12" s="117">
        <v>0</v>
      </c>
      <c r="F12" s="117">
        <v>1817.9999999999968</v>
      </c>
      <c r="G12" s="117">
        <v>241.55366174859435</v>
      </c>
      <c r="H12" s="117">
        <v>208.96781077844082</v>
      </c>
      <c r="I12" s="117">
        <v>112.26704986601821</v>
      </c>
      <c r="J12" s="117">
        <v>716.89971230206015</v>
      </c>
      <c r="K12" s="117">
        <v>408.58952803109776</v>
      </c>
      <c r="L12" s="117">
        <v>125.8078847674268</v>
      </c>
      <c r="M12" s="117">
        <v>3.914352506362663</v>
      </c>
      <c r="N12" s="117">
        <v>1817.9999999999968</v>
      </c>
      <c r="O12" s="117">
        <v>0</v>
      </c>
      <c r="P12" s="117">
        <v>12.774495795796236</v>
      </c>
      <c r="Q12" s="117">
        <v>170.97876486842171</v>
      </c>
      <c r="R12" s="117">
        <v>670.33746968585956</v>
      </c>
      <c r="S12" s="117">
        <v>764.01327035193731</v>
      </c>
      <c r="T12" s="117">
        <v>164.0537387517324</v>
      </c>
      <c r="U12" s="117">
        <v>35.842260546255169</v>
      </c>
      <c r="V12" s="117">
        <v>0</v>
      </c>
      <c r="W12" s="117">
        <v>1817.9999999999968</v>
      </c>
      <c r="X12" s="117">
        <v>912.0211379520116</v>
      </c>
      <c r="Y12" s="117">
        <v>899.64522088956255</v>
      </c>
      <c r="Z12" s="117">
        <v>3.2140375173645479</v>
      </c>
      <c r="AA12" s="117">
        <v>1.974382007782447</v>
      </c>
      <c r="AB12" s="117">
        <v>1.1452216332786433</v>
      </c>
      <c r="AC12" s="117">
        <v>1817.9999999999968</v>
      </c>
      <c r="AD12" s="117">
        <v>74.905128971797367</v>
      </c>
      <c r="AE12" s="117">
        <v>133.70738058843813</v>
      </c>
      <c r="AF12" s="117">
        <v>207.00182042104095</v>
      </c>
      <c r="AG12" s="117">
        <v>313.31351270478274</v>
      </c>
      <c r="AH12" s="117">
        <v>510.38091953462987</v>
      </c>
      <c r="AI12" s="117">
        <v>467.85262992409764</v>
      </c>
      <c r="AJ12" s="117">
        <v>110.83860785521935</v>
      </c>
      <c r="AK12" s="117">
        <v>1817.9999999999968</v>
      </c>
      <c r="AL12" s="117">
        <v>411.19571370753988</v>
      </c>
      <c r="AM12" s="117">
        <v>524.81748319960616</v>
      </c>
      <c r="AN12" s="117">
        <v>730.77106016039147</v>
      </c>
      <c r="AO12" s="117">
        <v>151.21574293246778</v>
      </c>
      <c r="AP12" s="117">
        <v>1817.9999999999968</v>
      </c>
      <c r="AQ12" s="117">
        <v>116.7268776413709</v>
      </c>
      <c r="AR12" s="117">
        <v>1672.2089288803213</v>
      </c>
      <c r="AS12" s="117">
        <v>8.9409987056788349</v>
      </c>
      <c r="AT12" s="117">
        <v>20.123194772627112</v>
      </c>
      <c r="AU12" s="117">
        <v>1817.9999999999968</v>
      </c>
      <c r="AV12" s="117">
        <v>622.87666995531549</v>
      </c>
      <c r="AW12" s="117">
        <v>1160.4258257155011</v>
      </c>
      <c r="AX12" s="117">
        <v>5.639757471894006</v>
      </c>
      <c r="AY12" s="118">
        <v>29.057746857286272</v>
      </c>
      <c r="AZ12" s="3"/>
    </row>
    <row r="13" spans="1:52" ht="15.5" x14ac:dyDescent="0.35">
      <c r="A13" s="109"/>
      <c r="B13" s="132" t="s">
        <v>55</v>
      </c>
      <c r="C13" s="110">
        <v>0.17018775926452839</v>
      </c>
      <c r="D13" s="111">
        <v>0.17018775926452839</v>
      </c>
      <c r="E13" s="111">
        <v>0</v>
      </c>
      <c r="F13" s="111">
        <v>0.17018775926452839</v>
      </c>
      <c r="G13" s="111">
        <v>0.1917387986173377</v>
      </c>
      <c r="H13" s="111">
        <v>0.17885625249845327</v>
      </c>
      <c r="I13" s="111">
        <v>0.12459413439701737</v>
      </c>
      <c r="J13" s="111">
        <v>0.15986798516518869</v>
      </c>
      <c r="K13" s="111">
        <v>0.20191749861364677</v>
      </c>
      <c r="L13" s="111">
        <v>0.11614879310328256</v>
      </c>
      <c r="M13" s="111">
        <v>0</v>
      </c>
      <c r="N13" s="111">
        <v>0.17018775926452839</v>
      </c>
      <c r="O13" s="111">
        <v>0</v>
      </c>
      <c r="P13" s="111">
        <v>0.25761656846223491</v>
      </c>
      <c r="Q13" s="111">
        <v>0.25907739958782999</v>
      </c>
      <c r="R13" s="111">
        <v>0.19967135874337977</v>
      </c>
      <c r="S13" s="111">
        <v>0.12202984405537899</v>
      </c>
      <c r="T13" s="111">
        <v>0.16111761033114122</v>
      </c>
      <c r="U13" s="111">
        <v>0.23162966507009358</v>
      </c>
      <c r="V13" s="111">
        <v>0</v>
      </c>
      <c r="W13" s="111">
        <v>0.17018775926452839</v>
      </c>
      <c r="X13" s="111">
        <v>0.2068846312885893</v>
      </c>
      <c r="Y13" s="111">
        <v>0.13418421694159086</v>
      </c>
      <c r="Z13" s="111">
        <v>0</v>
      </c>
      <c r="AA13" s="111">
        <v>0</v>
      </c>
      <c r="AB13" s="111">
        <v>0</v>
      </c>
      <c r="AC13" s="111">
        <v>0.17018775926452839</v>
      </c>
      <c r="AD13" s="111">
        <v>0.15842967189664534</v>
      </c>
      <c r="AE13" s="111">
        <v>0.26632080950169124</v>
      </c>
      <c r="AF13" s="111">
        <v>0.21411309721935687</v>
      </c>
      <c r="AG13" s="111">
        <v>0.17854668794996661</v>
      </c>
      <c r="AH13" s="111">
        <v>0.15496916934640373</v>
      </c>
      <c r="AI13" s="111">
        <v>0.15424482551371313</v>
      </c>
      <c r="AJ13" s="111">
        <v>9.3875666612032851E-2</v>
      </c>
      <c r="AK13" s="111">
        <v>0.17018775926452839</v>
      </c>
      <c r="AL13" s="111">
        <v>0.1423957119363134</v>
      </c>
      <c r="AM13" s="111">
        <v>0.12725266757681231</v>
      </c>
      <c r="AN13" s="111">
        <v>0.22878523971307058</v>
      </c>
      <c r="AO13" s="111">
        <v>0.1115940887823694</v>
      </c>
      <c r="AP13" s="111">
        <v>0.17018775926452839</v>
      </c>
      <c r="AQ13" s="111">
        <v>0.27319091910517118</v>
      </c>
      <c r="AR13" s="111">
        <v>0.16177240093946246</v>
      </c>
      <c r="AS13" s="111">
        <v>0.10429719214311806</v>
      </c>
      <c r="AT13" s="111">
        <v>0.30128660319393502</v>
      </c>
      <c r="AU13" s="111">
        <v>0.17018775926452839</v>
      </c>
      <c r="AV13" s="111">
        <v>0.23919204404724043</v>
      </c>
      <c r="AW13" s="111">
        <v>0.13329018558801789</v>
      </c>
      <c r="AX13" s="111">
        <v>0</v>
      </c>
      <c r="AY13" s="112">
        <v>0.19756620581799444</v>
      </c>
      <c r="AZ13" s="3"/>
    </row>
    <row r="14" spans="1:52" ht="15.5" x14ac:dyDescent="0.35">
      <c r="A14" s="109"/>
      <c r="B14" s="132" t="s">
        <v>56</v>
      </c>
      <c r="C14" s="110">
        <v>0.4356200198652489</v>
      </c>
      <c r="D14" s="111">
        <v>0.4356200198652489</v>
      </c>
      <c r="E14" s="111">
        <v>0</v>
      </c>
      <c r="F14" s="111">
        <v>0.4356200198652489</v>
      </c>
      <c r="G14" s="111">
        <v>0.38910571055716398</v>
      </c>
      <c r="H14" s="111">
        <v>0.46411720448589217</v>
      </c>
      <c r="I14" s="111">
        <v>0.46744690883800383</v>
      </c>
      <c r="J14" s="111">
        <v>0.35024315523421928</v>
      </c>
      <c r="K14" s="111">
        <v>0.55586258689494716</v>
      </c>
      <c r="L14" s="111">
        <v>0.55126035125007422</v>
      </c>
      <c r="M14" s="111">
        <v>0.24042222339688377</v>
      </c>
      <c r="N14" s="111">
        <v>0.4356200198652489</v>
      </c>
      <c r="O14" s="111">
        <v>0</v>
      </c>
      <c r="P14" s="111">
        <v>0.56970172114291318</v>
      </c>
      <c r="Q14" s="111">
        <v>0.4352960756934352</v>
      </c>
      <c r="R14" s="111">
        <v>0.44514667102206784</v>
      </c>
      <c r="S14" s="111">
        <v>0.43112313300842087</v>
      </c>
      <c r="T14" s="111">
        <v>0.40136963260098674</v>
      </c>
      <c r="U14" s="111">
        <v>0.46382905347387415</v>
      </c>
      <c r="V14" s="111">
        <v>0</v>
      </c>
      <c r="W14" s="111">
        <v>0.4356200198652489</v>
      </c>
      <c r="X14" s="111">
        <v>0.41616826224273223</v>
      </c>
      <c r="Y14" s="111">
        <v>0.45713322632333536</v>
      </c>
      <c r="Z14" s="111">
        <v>0</v>
      </c>
      <c r="AA14" s="111">
        <v>0</v>
      </c>
      <c r="AB14" s="111">
        <v>1</v>
      </c>
      <c r="AC14" s="111">
        <v>0.4356200198652489</v>
      </c>
      <c r="AD14" s="111">
        <v>0.38888963409525173</v>
      </c>
      <c r="AE14" s="111">
        <v>0.43275336436242029</v>
      </c>
      <c r="AF14" s="111">
        <v>0.42350024275231596</v>
      </c>
      <c r="AG14" s="111">
        <v>0.40926062094135834</v>
      </c>
      <c r="AH14" s="111">
        <v>0.46572976721245463</v>
      </c>
      <c r="AI14" s="111">
        <v>0.43398332024283531</v>
      </c>
      <c r="AJ14" s="111">
        <v>0.43606665170332753</v>
      </c>
      <c r="AK14" s="111">
        <v>0.4356200198652489</v>
      </c>
      <c r="AL14" s="111">
        <v>0.44583142059985953</v>
      </c>
      <c r="AM14" s="111">
        <v>0.43247610165810729</v>
      </c>
      <c r="AN14" s="111">
        <v>0.43019227743743987</v>
      </c>
      <c r="AO14" s="111">
        <v>0.44499428268067459</v>
      </c>
      <c r="AP14" s="111">
        <v>0.4356200198652489</v>
      </c>
      <c r="AQ14" s="111">
        <v>0.39155955853278868</v>
      </c>
      <c r="AR14" s="111">
        <v>0.439611473646766</v>
      </c>
      <c r="AS14" s="111">
        <v>0.44329483648123469</v>
      </c>
      <c r="AT14" s="111">
        <v>0.35610356547522792</v>
      </c>
      <c r="AU14" s="111">
        <v>0.4356200198652489</v>
      </c>
      <c r="AV14" s="111">
        <v>0.38127481511077055</v>
      </c>
      <c r="AW14" s="111">
        <v>0.4709200273164848</v>
      </c>
      <c r="AX14" s="111">
        <v>0.51543050959667835</v>
      </c>
      <c r="AY14" s="112">
        <v>0.17535235452301823</v>
      </c>
      <c r="AZ14" s="3"/>
    </row>
    <row r="15" spans="1:52" ht="15.5" x14ac:dyDescent="0.35">
      <c r="A15" s="109"/>
      <c r="B15" s="132" t="s">
        <v>57</v>
      </c>
      <c r="C15" s="110">
        <v>0.26607219533445609</v>
      </c>
      <c r="D15" s="111">
        <v>0.26607219533445609</v>
      </c>
      <c r="E15" s="111">
        <v>0</v>
      </c>
      <c r="F15" s="111">
        <v>0.26607219533445609</v>
      </c>
      <c r="G15" s="111">
        <v>0.28364671500324329</v>
      </c>
      <c r="H15" s="111">
        <v>0.23700508363799033</v>
      </c>
      <c r="I15" s="111">
        <v>0.25017069550018289</v>
      </c>
      <c r="J15" s="111">
        <v>0.32190310861314658</v>
      </c>
      <c r="K15" s="111">
        <v>0.17977500694481358</v>
      </c>
      <c r="L15" s="111">
        <v>0.24952306064294136</v>
      </c>
      <c r="M15" s="111">
        <v>0.50393759669217741</v>
      </c>
      <c r="N15" s="111">
        <v>0.26607219533445609</v>
      </c>
      <c r="O15" s="111">
        <v>0</v>
      </c>
      <c r="P15" s="111">
        <v>0.17268171039485197</v>
      </c>
      <c r="Q15" s="111">
        <v>0.19676697885164715</v>
      </c>
      <c r="R15" s="111">
        <v>0.24817146589155212</v>
      </c>
      <c r="S15" s="111">
        <v>0.29948409416818089</v>
      </c>
      <c r="T15" s="111">
        <v>0.26878980434528155</v>
      </c>
      <c r="U15" s="111">
        <v>0.24010559472257348</v>
      </c>
      <c r="V15" s="111">
        <v>0</v>
      </c>
      <c r="W15" s="111">
        <v>0.26607219533445609</v>
      </c>
      <c r="X15" s="111">
        <v>0.2564548466662297</v>
      </c>
      <c r="Y15" s="111">
        <v>0.27550041090124122</v>
      </c>
      <c r="Z15" s="111">
        <v>0</v>
      </c>
      <c r="AA15" s="111">
        <v>1</v>
      </c>
      <c r="AB15" s="111">
        <v>0</v>
      </c>
      <c r="AC15" s="111">
        <v>0.26607219533445609</v>
      </c>
      <c r="AD15" s="111">
        <v>0.30818201876694401</v>
      </c>
      <c r="AE15" s="111">
        <v>0.26317484598767166</v>
      </c>
      <c r="AF15" s="111">
        <v>0.25023761739381101</v>
      </c>
      <c r="AG15" s="111">
        <v>0.27260281264232455</v>
      </c>
      <c r="AH15" s="111">
        <v>0.25224057999691163</v>
      </c>
      <c r="AI15" s="111">
        <v>0.2833517086914642</v>
      </c>
      <c r="AJ15" s="111">
        <v>0.24297498926402777</v>
      </c>
      <c r="AK15" s="111">
        <v>0.26607219533445609</v>
      </c>
      <c r="AL15" s="111">
        <v>0.26076294316610604</v>
      </c>
      <c r="AM15" s="111">
        <v>0.28852648018055321</v>
      </c>
      <c r="AN15" s="111">
        <v>0.25039325287442976</v>
      </c>
      <c r="AO15" s="111">
        <v>0.27834907763747729</v>
      </c>
      <c r="AP15" s="111">
        <v>0.26607219533445609</v>
      </c>
      <c r="AQ15" s="111">
        <v>0.2659233107702022</v>
      </c>
      <c r="AR15" s="111">
        <v>0.2665150694740116</v>
      </c>
      <c r="AS15" s="111">
        <v>0.4524079713756472</v>
      </c>
      <c r="AT15" s="111">
        <v>0.14734218155567044</v>
      </c>
      <c r="AU15" s="111">
        <v>0.26607219533445609</v>
      </c>
      <c r="AV15" s="111">
        <v>0.27764366067427848</v>
      </c>
      <c r="AW15" s="111">
        <v>0.25740790841817446</v>
      </c>
      <c r="AX15" s="111">
        <v>0.34433347602133624</v>
      </c>
      <c r="AY15" s="112">
        <v>0.34884846394840269</v>
      </c>
      <c r="AZ15" s="3"/>
    </row>
    <row r="16" spans="1:52" ht="15.5" x14ac:dyDescent="0.35">
      <c r="A16" s="109"/>
      <c r="B16" s="132" t="s">
        <v>58</v>
      </c>
      <c r="C16" s="110">
        <v>8.463824117692148E-2</v>
      </c>
      <c r="D16" s="111">
        <v>8.463824117692148E-2</v>
      </c>
      <c r="E16" s="111">
        <v>0</v>
      </c>
      <c r="F16" s="111">
        <v>8.463824117692148E-2</v>
      </c>
      <c r="G16" s="111">
        <v>9.130958322843874E-2</v>
      </c>
      <c r="H16" s="111">
        <v>9.617530115299093E-2</v>
      </c>
      <c r="I16" s="111">
        <v>9.9744258604736111E-2</v>
      </c>
      <c r="J16" s="111">
        <v>0.11621019361372763</v>
      </c>
      <c r="K16" s="111">
        <v>3.220430087692705E-2</v>
      </c>
      <c r="L16" s="111">
        <v>2.4247782665655426E-2</v>
      </c>
      <c r="M16" s="111">
        <v>0.25564017991093896</v>
      </c>
      <c r="N16" s="111">
        <v>8.463824117692148E-2</v>
      </c>
      <c r="O16" s="111">
        <v>0</v>
      </c>
      <c r="P16" s="111">
        <v>0</v>
      </c>
      <c r="Q16" s="111">
        <v>7.3562825584148783E-2</v>
      </c>
      <c r="R16" s="111">
        <v>6.8598103054280421E-2</v>
      </c>
      <c r="S16" s="111">
        <v>9.5271007195809804E-2</v>
      </c>
      <c r="T16" s="111">
        <v>0.13112669743218894</v>
      </c>
      <c r="U16" s="111">
        <v>2.819643118665097E-2</v>
      </c>
      <c r="V16" s="111">
        <v>0</v>
      </c>
      <c r="W16" s="111">
        <v>8.463824117692148E-2</v>
      </c>
      <c r="X16" s="111">
        <v>7.9062400895234766E-2</v>
      </c>
      <c r="Y16" s="111">
        <v>8.9763293260243474E-2</v>
      </c>
      <c r="Z16" s="111">
        <v>0.31444058372261691</v>
      </c>
      <c r="AA16" s="111">
        <v>0</v>
      </c>
      <c r="AB16" s="111">
        <v>0</v>
      </c>
      <c r="AC16" s="111">
        <v>8.463824117692148E-2</v>
      </c>
      <c r="AD16" s="111">
        <v>6.4755684504715458E-2</v>
      </c>
      <c r="AE16" s="111">
        <v>3.775098014821688E-2</v>
      </c>
      <c r="AF16" s="111">
        <v>4.8422255620961342E-2</v>
      </c>
      <c r="AG16" s="111">
        <v>8.9144410343438979E-2</v>
      </c>
      <c r="AH16" s="111">
        <v>9.1982757795446235E-2</v>
      </c>
      <c r="AI16" s="111">
        <v>9.3761120407386184E-2</v>
      </c>
      <c r="AJ16" s="111">
        <v>0.13720787825513869</v>
      </c>
      <c r="AK16" s="111">
        <v>8.463824117692148E-2</v>
      </c>
      <c r="AL16" s="111">
        <v>0.10694358260697485</v>
      </c>
      <c r="AM16" s="111">
        <v>8.5839660067039192E-2</v>
      </c>
      <c r="AN16" s="111">
        <v>6.564789351503357E-2</v>
      </c>
      <c r="AO16" s="111">
        <v>0.11158788271332044</v>
      </c>
      <c r="AP16" s="111">
        <v>8.463824117692148E-2</v>
      </c>
      <c r="AQ16" s="111">
        <v>6.0668189947743839E-2</v>
      </c>
      <c r="AR16" s="111">
        <v>8.543268885744297E-2</v>
      </c>
      <c r="AS16" s="111">
        <v>0</v>
      </c>
      <c r="AT16" s="111">
        <v>0.1952676497751667</v>
      </c>
      <c r="AU16" s="111">
        <v>8.463824117692148E-2</v>
      </c>
      <c r="AV16" s="111">
        <v>6.1911027210909006E-2</v>
      </c>
      <c r="AW16" s="111">
        <v>9.3309115686843608E-2</v>
      </c>
      <c r="AX16" s="111">
        <v>0</v>
      </c>
      <c r="AY16" s="112">
        <v>0.24196922128349349</v>
      </c>
      <c r="AZ16" s="3"/>
    </row>
    <row r="17" spans="1:52" ht="15.5" x14ac:dyDescent="0.35">
      <c r="A17" s="113"/>
      <c r="B17" s="4" t="s">
        <v>53</v>
      </c>
      <c r="C17" s="2">
        <v>4.3481784358849584E-2</v>
      </c>
      <c r="D17" s="114">
        <v>4.3481784358849584E-2</v>
      </c>
      <c r="E17" s="114">
        <v>0</v>
      </c>
      <c r="F17" s="114">
        <v>4.3481784358849584E-2</v>
      </c>
      <c r="G17" s="114">
        <v>4.4199192593811061E-2</v>
      </c>
      <c r="H17" s="114">
        <v>2.3846158224677626E-2</v>
      </c>
      <c r="I17" s="114">
        <v>5.8044002660061066E-2</v>
      </c>
      <c r="J17" s="114">
        <v>5.1775557373721623E-2</v>
      </c>
      <c r="K17" s="114">
        <v>3.0240606669660903E-2</v>
      </c>
      <c r="L17" s="114">
        <v>5.8820012338048101E-2</v>
      </c>
      <c r="M17" s="114">
        <v>0</v>
      </c>
      <c r="N17" s="114">
        <v>4.3481784358849584E-2</v>
      </c>
      <c r="O17" s="114">
        <v>0</v>
      </c>
      <c r="P17" s="114">
        <v>0</v>
      </c>
      <c r="Q17" s="114">
        <v>3.5296720282938863E-2</v>
      </c>
      <c r="R17" s="114">
        <v>3.8412401288719179E-2</v>
      </c>
      <c r="S17" s="114">
        <v>5.2091921572210771E-2</v>
      </c>
      <c r="T17" s="114">
        <v>3.7596255290402329E-2</v>
      </c>
      <c r="U17" s="114">
        <v>3.6239255546807687E-2</v>
      </c>
      <c r="V17" s="114">
        <v>0</v>
      </c>
      <c r="W17" s="114">
        <v>4.3481784358849584E-2</v>
      </c>
      <c r="X17" s="114">
        <v>4.1429858907214429E-2</v>
      </c>
      <c r="Y17" s="114">
        <v>4.3418852573592945E-2</v>
      </c>
      <c r="Z17" s="114">
        <v>0.68555941627738304</v>
      </c>
      <c r="AA17" s="114">
        <v>0</v>
      </c>
      <c r="AB17" s="114">
        <v>0</v>
      </c>
      <c r="AC17" s="114">
        <v>4.3481784358849584E-2</v>
      </c>
      <c r="AD17" s="114">
        <v>7.9742990736443489E-2</v>
      </c>
      <c r="AE17" s="114">
        <v>0</v>
      </c>
      <c r="AF17" s="114">
        <v>6.3726787013556732E-2</v>
      </c>
      <c r="AG17" s="114">
        <v>5.0445468122910508E-2</v>
      </c>
      <c r="AH17" s="114">
        <v>3.507772564878113E-2</v>
      </c>
      <c r="AI17" s="114">
        <v>3.4659025144598767E-2</v>
      </c>
      <c r="AJ17" s="114">
        <v>8.9874814165472078E-2</v>
      </c>
      <c r="AK17" s="114">
        <v>4.3481784358849584E-2</v>
      </c>
      <c r="AL17" s="114">
        <v>4.4066341690744686E-2</v>
      </c>
      <c r="AM17" s="114">
        <v>6.5905090517483916E-2</v>
      </c>
      <c r="AN17" s="114">
        <v>2.4981336460026676E-2</v>
      </c>
      <c r="AO17" s="114">
        <v>5.3474668186157842E-2</v>
      </c>
      <c r="AP17" s="114">
        <v>4.3481784358849584E-2</v>
      </c>
      <c r="AQ17" s="114">
        <v>8.6580216440939797E-3</v>
      </c>
      <c r="AR17" s="114">
        <v>4.6668367082321145E-2</v>
      </c>
      <c r="AS17" s="114">
        <v>0</v>
      </c>
      <c r="AT17" s="114">
        <v>0</v>
      </c>
      <c r="AU17" s="114">
        <v>4.3481784358849584E-2</v>
      </c>
      <c r="AV17" s="114">
        <v>3.9978452956802031E-2</v>
      </c>
      <c r="AW17" s="114">
        <v>4.5072762990485883E-2</v>
      </c>
      <c r="AX17" s="114">
        <v>0.14023601438198541</v>
      </c>
      <c r="AY17" s="115">
        <v>3.6263754427091073E-2</v>
      </c>
      <c r="AZ17" s="3"/>
    </row>
    <row r="18" spans="1:52" ht="15.5" x14ac:dyDescent="0.35">
      <c r="A18" s="1"/>
      <c r="B18" s="4" t="s">
        <v>77</v>
      </c>
      <c r="C18" s="6">
        <f>C13+C14</f>
        <v>0.60580777912977735</v>
      </c>
      <c r="D18" s="6">
        <f t="shared" ref="D18:AY18" si="2">D13+D14</f>
        <v>0.60580777912977735</v>
      </c>
      <c r="E18" s="6">
        <f t="shared" si="2"/>
        <v>0</v>
      </c>
      <c r="F18" s="6">
        <f t="shared" si="2"/>
        <v>0.60580777912977735</v>
      </c>
      <c r="G18" s="6">
        <f t="shared" si="2"/>
        <v>0.5808445091745017</v>
      </c>
      <c r="H18" s="6">
        <f t="shared" si="2"/>
        <v>0.64297345698434549</v>
      </c>
      <c r="I18" s="6">
        <f t="shared" si="2"/>
        <v>0.59204104323502116</v>
      </c>
      <c r="J18" s="6">
        <f t="shared" si="2"/>
        <v>0.51011114039940797</v>
      </c>
      <c r="K18" s="6">
        <f t="shared" si="2"/>
        <v>0.75778008550859388</v>
      </c>
      <c r="L18" s="6">
        <f t="shared" si="2"/>
        <v>0.66740914435335674</v>
      </c>
      <c r="M18" s="6">
        <f t="shared" si="2"/>
        <v>0.24042222339688377</v>
      </c>
      <c r="N18" s="6">
        <f t="shared" si="2"/>
        <v>0.60580777912977735</v>
      </c>
      <c r="O18" s="6">
        <f t="shared" si="2"/>
        <v>0</v>
      </c>
      <c r="P18" s="6">
        <f t="shared" si="2"/>
        <v>0.82731828960514808</v>
      </c>
      <c r="Q18" s="6">
        <f t="shared" si="2"/>
        <v>0.69437347528126514</v>
      </c>
      <c r="R18" s="6">
        <f t="shared" si="2"/>
        <v>0.64481802976544755</v>
      </c>
      <c r="S18" s="6">
        <f t="shared" si="2"/>
        <v>0.55315297706379984</v>
      </c>
      <c r="T18" s="6">
        <f t="shared" si="2"/>
        <v>0.56248724293212793</v>
      </c>
      <c r="U18" s="6">
        <f t="shared" si="2"/>
        <v>0.69545871854396779</v>
      </c>
      <c r="V18" s="6">
        <f t="shared" si="2"/>
        <v>0</v>
      </c>
      <c r="W18" s="6">
        <f t="shared" si="2"/>
        <v>0.60580777912977735</v>
      </c>
      <c r="X18" s="6">
        <f t="shared" si="2"/>
        <v>0.62305289353132154</v>
      </c>
      <c r="Y18" s="6">
        <f t="shared" si="2"/>
        <v>0.59131744326492619</v>
      </c>
      <c r="Z18" s="6">
        <f t="shared" si="2"/>
        <v>0</v>
      </c>
      <c r="AA18" s="6">
        <f t="shared" si="2"/>
        <v>0</v>
      </c>
      <c r="AB18" s="6">
        <f t="shared" si="2"/>
        <v>1</v>
      </c>
      <c r="AC18" s="6">
        <f t="shared" si="2"/>
        <v>0.60580777912977735</v>
      </c>
      <c r="AD18" s="6">
        <f t="shared" si="2"/>
        <v>0.54731930599189704</v>
      </c>
      <c r="AE18" s="6">
        <f t="shared" si="2"/>
        <v>0.69907417386411153</v>
      </c>
      <c r="AF18" s="6">
        <f t="shared" si="2"/>
        <v>0.6376133399716728</v>
      </c>
      <c r="AG18" s="6">
        <f t="shared" si="2"/>
        <v>0.58780730889132493</v>
      </c>
      <c r="AH18" s="6">
        <f t="shared" si="2"/>
        <v>0.62069893655885833</v>
      </c>
      <c r="AI18" s="6">
        <f t="shared" si="2"/>
        <v>0.58822814575654847</v>
      </c>
      <c r="AJ18" s="6">
        <f t="shared" si="2"/>
        <v>0.52994231831536043</v>
      </c>
      <c r="AK18" s="6">
        <f t="shared" si="2"/>
        <v>0.60580777912977735</v>
      </c>
      <c r="AL18" s="6">
        <f t="shared" si="2"/>
        <v>0.58822713253617298</v>
      </c>
      <c r="AM18" s="6">
        <f t="shared" si="2"/>
        <v>0.55972876923491954</v>
      </c>
      <c r="AN18" s="6">
        <f t="shared" si="2"/>
        <v>0.65897751715051045</v>
      </c>
      <c r="AO18" s="6">
        <f t="shared" si="2"/>
        <v>0.55658837146304396</v>
      </c>
      <c r="AP18" s="6">
        <f t="shared" si="2"/>
        <v>0.60580777912977735</v>
      </c>
      <c r="AQ18" s="6">
        <f t="shared" si="2"/>
        <v>0.6647504776379598</v>
      </c>
      <c r="AR18" s="6">
        <f t="shared" si="2"/>
        <v>0.60138387458622844</v>
      </c>
      <c r="AS18" s="6">
        <f t="shared" si="2"/>
        <v>0.54759202862435274</v>
      </c>
      <c r="AT18" s="6">
        <f t="shared" si="2"/>
        <v>0.657390168669163</v>
      </c>
      <c r="AU18" s="6">
        <f t="shared" si="2"/>
        <v>0.60580777912977735</v>
      </c>
      <c r="AV18" s="6">
        <f t="shared" si="2"/>
        <v>0.62046685915801092</v>
      </c>
      <c r="AW18" s="6">
        <f t="shared" si="2"/>
        <v>0.60421021290450272</v>
      </c>
      <c r="AX18" s="6">
        <f t="shared" si="2"/>
        <v>0.51543050959667835</v>
      </c>
      <c r="AY18" s="6">
        <f t="shared" si="2"/>
        <v>0.37291856034101267</v>
      </c>
      <c r="AZ18" s="3"/>
    </row>
    <row r="19" spans="1:52" ht="15.5" x14ac:dyDescent="0.35">
      <c r="A19" s="113" t="s">
        <v>59</v>
      </c>
      <c r="B19" s="132" t="s">
        <v>9</v>
      </c>
      <c r="C19" s="116">
        <v>1817.9999999999968</v>
      </c>
      <c r="D19" s="117">
        <v>1817.9999999999968</v>
      </c>
      <c r="E19" s="117">
        <v>0</v>
      </c>
      <c r="F19" s="117">
        <v>1817.9999999999968</v>
      </c>
      <c r="G19" s="117">
        <v>241.55366174859435</v>
      </c>
      <c r="H19" s="117">
        <v>208.96781077844082</v>
      </c>
      <c r="I19" s="117">
        <v>112.26704986601821</v>
      </c>
      <c r="J19" s="117">
        <v>716.89971230206015</v>
      </c>
      <c r="K19" s="117">
        <v>408.58952803109776</v>
      </c>
      <c r="L19" s="117">
        <v>125.8078847674268</v>
      </c>
      <c r="M19" s="117">
        <v>3.914352506362663</v>
      </c>
      <c r="N19" s="117">
        <v>1817.9999999999968</v>
      </c>
      <c r="O19" s="117">
        <v>0</v>
      </c>
      <c r="P19" s="117">
        <v>12.774495795796236</v>
      </c>
      <c r="Q19" s="117">
        <v>170.97876486842171</v>
      </c>
      <c r="R19" s="117">
        <v>670.33746968585956</v>
      </c>
      <c r="S19" s="117">
        <v>764.01327035193731</v>
      </c>
      <c r="T19" s="117">
        <v>164.0537387517324</v>
      </c>
      <c r="U19" s="117">
        <v>35.842260546255169</v>
      </c>
      <c r="V19" s="117">
        <v>0</v>
      </c>
      <c r="W19" s="117">
        <v>1817.9999999999968</v>
      </c>
      <c r="X19" s="117">
        <v>912.0211379520116</v>
      </c>
      <c r="Y19" s="117">
        <v>899.64522088956255</v>
      </c>
      <c r="Z19" s="117">
        <v>3.2140375173645479</v>
      </c>
      <c r="AA19" s="117">
        <v>1.974382007782447</v>
      </c>
      <c r="AB19" s="117">
        <v>1.1452216332786433</v>
      </c>
      <c r="AC19" s="117">
        <v>1817.9999999999968</v>
      </c>
      <c r="AD19" s="117">
        <v>74.905128971797367</v>
      </c>
      <c r="AE19" s="117">
        <v>133.70738058843813</v>
      </c>
      <c r="AF19" s="117">
        <v>207.00182042104095</v>
      </c>
      <c r="AG19" s="117">
        <v>313.31351270478274</v>
      </c>
      <c r="AH19" s="117">
        <v>510.38091953462987</v>
      </c>
      <c r="AI19" s="117">
        <v>467.85262992409764</v>
      </c>
      <c r="AJ19" s="117">
        <v>110.83860785521935</v>
      </c>
      <c r="AK19" s="117">
        <v>1817.9999999999968</v>
      </c>
      <c r="AL19" s="117">
        <v>411.19571370753988</v>
      </c>
      <c r="AM19" s="117">
        <v>524.81748319960616</v>
      </c>
      <c r="AN19" s="117">
        <v>730.77106016039147</v>
      </c>
      <c r="AO19" s="117">
        <v>151.21574293246778</v>
      </c>
      <c r="AP19" s="117">
        <v>1817.9999999999968</v>
      </c>
      <c r="AQ19" s="117">
        <v>116.7268776413709</v>
      </c>
      <c r="AR19" s="117">
        <v>1672.2089288803213</v>
      </c>
      <c r="AS19" s="117">
        <v>8.9409987056788349</v>
      </c>
      <c r="AT19" s="117">
        <v>20.123194772627112</v>
      </c>
      <c r="AU19" s="117">
        <v>1817.9999999999968</v>
      </c>
      <c r="AV19" s="117">
        <v>622.87666995531549</v>
      </c>
      <c r="AW19" s="117">
        <v>1160.4258257155011</v>
      </c>
      <c r="AX19" s="117">
        <v>5.639757471894006</v>
      </c>
      <c r="AY19" s="118">
        <v>29.057746857286272</v>
      </c>
      <c r="AZ19" s="3"/>
    </row>
    <row r="20" spans="1:52" ht="15.5" x14ac:dyDescent="0.35">
      <c r="A20" s="109"/>
      <c r="B20" s="132" t="s">
        <v>60</v>
      </c>
      <c r="C20" s="110">
        <v>0.45679592112627676</v>
      </c>
      <c r="D20" s="111">
        <v>0.45679592112627676</v>
      </c>
      <c r="E20" s="111">
        <v>0</v>
      </c>
      <c r="F20" s="111">
        <v>0.45679592112627676</v>
      </c>
      <c r="G20" s="111">
        <v>0.44236147225797334</v>
      </c>
      <c r="H20" s="111">
        <v>0.4023275387408019</v>
      </c>
      <c r="I20" s="111">
        <v>0.41578943912230804</v>
      </c>
      <c r="J20" s="111">
        <v>0.4130610029297736</v>
      </c>
      <c r="K20" s="111">
        <v>0.61722644144703831</v>
      </c>
      <c r="L20" s="111">
        <v>0.34649116524003959</v>
      </c>
      <c r="M20" s="111">
        <v>0.24042222339688377</v>
      </c>
      <c r="N20" s="111">
        <v>0.45679592112627676</v>
      </c>
      <c r="O20" s="111">
        <v>0</v>
      </c>
      <c r="P20" s="111">
        <v>0.44869736863281667</v>
      </c>
      <c r="Q20" s="111">
        <v>0.47403340900773316</v>
      </c>
      <c r="R20" s="111">
        <v>0.50128087435726132</v>
      </c>
      <c r="S20" s="111">
        <v>0.43430192210141216</v>
      </c>
      <c r="T20" s="111">
        <v>0.35738550366804384</v>
      </c>
      <c r="U20" s="111">
        <v>0.47997090925295155</v>
      </c>
      <c r="V20" s="111">
        <v>0</v>
      </c>
      <c r="W20" s="111">
        <v>0.45679592112627676</v>
      </c>
      <c r="X20" s="111">
        <v>0.46180074264000753</v>
      </c>
      <c r="Y20" s="111">
        <v>0.45366519455425453</v>
      </c>
      <c r="Z20" s="111">
        <v>0</v>
      </c>
      <c r="AA20" s="111">
        <v>0</v>
      </c>
      <c r="AB20" s="111">
        <v>1</v>
      </c>
      <c r="AC20" s="111">
        <v>0.45679592112627676</v>
      </c>
      <c r="AD20" s="111">
        <v>0.49183950134103599</v>
      </c>
      <c r="AE20" s="111">
        <v>0.42757941546180772</v>
      </c>
      <c r="AF20" s="111">
        <v>0.4772844310724092</v>
      </c>
      <c r="AG20" s="111">
        <v>0.43388963401098302</v>
      </c>
      <c r="AH20" s="111">
        <v>0.43446170099808268</v>
      </c>
      <c r="AI20" s="111">
        <v>0.49280506281790154</v>
      </c>
      <c r="AJ20" s="111">
        <v>0.44569146131606091</v>
      </c>
      <c r="AK20" s="111">
        <v>0.45679592112627676</v>
      </c>
      <c r="AL20" s="111">
        <v>0.47949699227979886</v>
      </c>
      <c r="AM20" s="111">
        <v>0.43250403242046681</v>
      </c>
      <c r="AN20" s="111">
        <v>0.46445583235590859</v>
      </c>
      <c r="AO20" s="111">
        <v>0.44235683780184587</v>
      </c>
      <c r="AP20" s="111">
        <v>0.45679592112627676</v>
      </c>
      <c r="AQ20" s="111">
        <v>0.48938827466931334</v>
      </c>
      <c r="AR20" s="111">
        <v>0.4535642893109767</v>
      </c>
      <c r="AS20" s="111">
        <v>0.55321146938160448</v>
      </c>
      <c r="AT20" s="111">
        <v>0.49344559969427698</v>
      </c>
      <c r="AU20" s="111">
        <v>0.45679592112627676</v>
      </c>
      <c r="AV20" s="111">
        <v>0.46456429337576127</v>
      </c>
      <c r="AW20" s="111">
        <v>0.4534028869654857</v>
      </c>
      <c r="AX20" s="111">
        <v>0.17344701866587686</v>
      </c>
      <c r="AY20" s="112">
        <v>0.48077044754814324</v>
      </c>
      <c r="AZ20" s="3"/>
    </row>
    <row r="21" spans="1:52" ht="15.5" x14ac:dyDescent="0.35">
      <c r="A21" s="109"/>
      <c r="B21" s="132" t="s">
        <v>61</v>
      </c>
      <c r="C21" s="110">
        <v>0.43528929057471033</v>
      </c>
      <c r="D21" s="111">
        <v>0.43528929057471033</v>
      </c>
      <c r="E21" s="111">
        <v>0</v>
      </c>
      <c r="F21" s="111">
        <v>0.43528929057471033</v>
      </c>
      <c r="G21" s="111">
        <v>0.45692383507410317</v>
      </c>
      <c r="H21" s="111">
        <v>0.50406507158982494</v>
      </c>
      <c r="I21" s="111">
        <v>0.48335297320350423</v>
      </c>
      <c r="J21" s="111">
        <v>0.4474031229535641</v>
      </c>
      <c r="K21" s="111">
        <v>0.3189957301499855</v>
      </c>
      <c r="L21" s="111">
        <v>0.53519362409924487</v>
      </c>
      <c r="M21" s="111">
        <v>0.75957777660311632</v>
      </c>
      <c r="N21" s="111">
        <v>0.43528929057471033</v>
      </c>
      <c r="O21" s="111">
        <v>0</v>
      </c>
      <c r="P21" s="111">
        <v>0.3155286345540434</v>
      </c>
      <c r="Q21" s="111">
        <v>0.36552838762453677</v>
      </c>
      <c r="R21" s="111">
        <v>0.39166780043663424</v>
      </c>
      <c r="S21" s="111">
        <v>0.46967038167603958</v>
      </c>
      <c r="T21" s="111">
        <v>0.52309211931916511</v>
      </c>
      <c r="U21" s="111">
        <v>0.49183265956039723</v>
      </c>
      <c r="V21" s="111">
        <v>0</v>
      </c>
      <c r="W21" s="111">
        <v>0.43528929057471033</v>
      </c>
      <c r="X21" s="111">
        <v>0.41828400340816352</v>
      </c>
      <c r="Y21" s="111">
        <v>0.45094918794339856</v>
      </c>
      <c r="Z21" s="111">
        <v>0.68555941627738304</v>
      </c>
      <c r="AA21" s="111">
        <v>1</v>
      </c>
      <c r="AB21" s="111">
        <v>0</v>
      </c>
      <c r="AC21" s="111">
        <v>0.43528929057471033</v>
      </c>
      <c r="AD21" s="111">
        <v>0.33264500327553265</v>
      </c>
      <c r="AE21" s="111">
        <v>0.44316149130665461</v>
      </c>
      <c r="AF21" s="111">
        <v>0.43151343634347583</v>
      </c>
      <c r="AG21" s="111">
        <v>0.45723512475999101</v>
      </c>
      <c r="AH21" s="111">
        <v>0.4493447965301271</v>
      </c>
      <c r="AI21" s="111">
        <v>0.42887447586645022</v>
      </c>
      <c r="AJ21" s="111">
        <v>0.40253193596820025</v>
      </c>
      <c r="AK21" s="111">
        <v>0.43528929057471033</v>
      </c>
      <c r="AL21" s="111">
        <v>0.42680049475506093</v>
      </c>
      <c r="AM21" s="111">
        <v>0.45653175370956062</v>
      </c>
      <c r="AN21" s="111">
        <v>0.42786859639057129</v>
      </c>
      <c r="AO21" s="111">
        <v>0.42050887826840272</v>
      </c>
      <c r="AP21" s="111">
        <v>0.43528929057471033</v>
      </c>
      <c r="AQ21" s="111">
        <v>0.3681440019239533</v>
      </c>
      <c r="AR21" s="111">
        <v>0.44328837868044951</v>
      </c>
      <c r="AS21" s="111">
        <v>0.44678853061839546</v>
      </c>
      <c r="AT21" s="111">
        <v>0.154951033410578</v>
      </c>
      <c r="AU21" s="111">
        <v>0.43528929057471033</v>
      </c>
      <c r="AV21" s="111">
        <v>0.42283741822423898</v>
      </c>
      <c r="AW21" s="111">
        <v>0.44483152909700613</v>
      </c>
      <c r="AX21" s="111">
        <v>0.49031880032125164</v>
      </c>
      <c r="AY21" s="112">
        <v>0.310453998333378</v>
      </c>
      <c r="AZ21" s="3"/>
    </row>
    <row r="22" spans="1:52" ht="15.5" x14ac:dyDescent="0.35">
      <c r="A22" s="109"/>
      <c r="B22" s="132" t="s">
        <v>62</v>
      </c>
      <c r="C22" s="110">
        <v>8.0993350426389055E-2</v>
      </c>
      <c r="D22" s="111">
        <v>8.0993350426389055E-2</v>
      </c>
      <c r="E22" s="111">
        <v>0</v>
      </c>
      <c r="F22" s="111">
        <v>8.0993350426389055E-2</v>
      </c>
      <c r="G22" s="111">
        <v>7.8902914104736099E-2</v>
      </c>
      <c r="H22" s="111">
        <v>8.9007625883904179E-2</v>
      </c>
      <c r="I22" s="111">
        <v>8.424503642125386E-2</v>
      </c>
      <c r="J22" s="111">
        <v>0.10583646424080712</v>
      </c>
      <c r="K22" s="111">
        <v>2.7909535243635247E-2</v>
      </c>
      <c r="L22" s="111">
        <v>0.10215002221694723</v>
      </c>
      <c r="M22" s="111">
        <v>0</v>
      </c>
      <c r="N22" s="111">
        <v>8.0993350426389055E-2</v>
      </c>
      <c r="O22" s="111">
        <v>0</v>
      </c>
      <c r="P22" s="111">
        <v>8.5756601703853144E-2</v>
      </c>
      <c r="Q22" s="111">
        <v>0.11897847800607231</v>
      </c>
      <c r="R22" s="111">
        <v>7.9619286620862359E-2</v>
      </c>
      <c r="S22" s="111">
        <v>7.1644190286516127E-2</v>
      </c>
      <c r="T22" s="111">
        <v>0.1017233349975207</v>
      </c>
      <c r="U22" s="111">
        <v>2.819643118665097E-2</v>
      </c>
      <c r="V22" s="111">
        <v>0</v>
      </c>
      <c r="W22" s="111">
        <v>8.0993350426389055E-2</v>
      </c>
      <c r="X22" s="111">
        <v>8.8892142936623467E-2</v>
      </c>
      <c r="Y22" s="111">
        <v>7.243274612365852E-2</v>
      </c>
      <c r="Z22" s="111">
        <v>0.31444058372261691</v>
      </c>
      <c r="AA22" s="111">
        <v>0</v>
      </c>
      <c r="AB22" s="111">
        <v>0</v>
      </c>
      <c r="AC22" s="111">
        <v>8.0993350426389055E-2</v>
      </c>
      <c r="AD22" s="111">
        <v>0.14853139304120017</v>
      </c>
      <c r="AE22" s="111">
        <v>0.10732125664615509</v>
      </c>
      <c r="AF22" s="111">
        <v>5.5578714215851421E-2</v>
      </c>
      <c r="AG22" s="111">
        <v>8.3983506300380761E-2</v>
      </c>
      <c r="AH22" s="111">
        <v>8.891678930206677E-2</v>
      </c>
      <c r="AI22" s="111">
        <v>5.4958959950986153E-2</v>
      </c>
      <c r="AJ22" s="111">
        <v>0.11600934944659272</v>
      </c>
      <c r="AK22" s="111">
        <v>8.0993350426389055E-2</v>
      </c>
      <c r="AL22" s="111">
        <v>6.5324950761975281E-2</v>
      </c>
      <c r="AM22" s="111">
        <v>8.2485244405345201E-2</v>
      </c>
      <c r="AN22" s="111">
        <v>8.3310457330805152E-2</v>
      </c>
      <c r="AO22" s="111">
        <v>0.10722429697639763</v>
      </c>
      <c r="AP22" s="111">
        <v>8.0993350426389055E-2</v>
      </c>
      <c r="AQ22" s="111">
        <v>0.1076404093769395</v>
      </c>
      <c r="AR22" s="111">
        <v>7.6309841995202202E-2</v>
      </c>
      <c r="AS22" s="111">
        <v>0</v>
      </c>
      <c r="AT22" s="111">
        <v>0.35160336689514504</v>
      </c>
      <c r="AU22" s="111">
        <v>8.0993350426389055E-2</v>
      </c>
      <c r="AV22" s="111">
        <v>9.1382174585970921E-2</v>
      </c>
      <c r="AW22" s="111">
        <v>7.268355325059396E-2</v>
      </c>
      <c r="AX22" s="111">
        <v>0.16534772365741213</v>
      </c>
      <c r="AY22" s="112">
        <v>0.17378130327435923</v>
      </c>
      <c r="AZ22" s="3"/>
    </row>
    <row r="23" spans="1:52" ht="15.5" x14ac:dyDescent="0.35">
      <c r="A23" s="109"/>
      <c r="B23" s="132" t="s">
        <v>63</v>
      </c>
      <c r="C23" s="110">
        <v>1.0980377488863604E-2</v>
      </c>
      <c r="D23" s="111">
        <v>1.0980377488863604E-2</v>
      </c>
      <c r="E23" s="111">
        <v>0</v>
      </c>
      <c r="F23" s="111">
        <v>1.0980377488863604E-2</v>
      </c>
      <c r="G23" s="111">
        <v>4.3623557126363406E-3</v>
      </c>
      <c r="H23" s="111">
        <v>0</v>
      </c>
      <c r="I23" s="111">
        <v>8.3062756264678274E-3</v>
      </c>
      <c r="J23" s="111">
        <v>2.1057209539460456E-2</v>
      </c>
      <c r="K23" s="111">
        <v>7.0490175597858855E-3</v>
      </c>
      <c r="L23" s="111">
        <v>0</v>
      </c>
      <c r="M23" s="111">
        <v>0</v>
      </c>
      <c r="N23" s="111">
        <v>1.0980377488863604E-2</v>
      </c>
      <c r="O23" s="111">
        <v>0</v>
      </c>
      <c r="P23" s="111">
        <v>0.1500173951092868</v>
      </c>
      <c r="Q23" s="111">
        <v>1.1821629824548492E-2</v>
      </c>
      <c r="R23" s="111">
        <v>1.0617765404001169E-2</v>
      </c>
      <c r="S23" s="111">
        <v>9.1150918551884813E-3</v>
      </c>
      <c r="T23" s="111">
        <v>1.1844563298643718E-2</v>
      </c>
      <c r="U23" s="111">
        <v>0</v>
      </c>
      <c r="V23" s="111">
        <v>0</v>
      </c>
      <c r="W23" s="111">
        <v>1.0980377488863604E-2</v>
      </c>
      <c r="X23" s="111">
        <v>1.3191259569366461E-2</v>
      </c>
      <c r="Y23" s="111">
        <v>8.8163850894881751E-3</v>
      </c>
      <c r="Z23" s="111">
        <v>0</v>
      </c>
      <c r="AA23" s="111">
        <v>0</v>
      </c>
      <c r="AB23" s="111">
        <v>0</v>
      </c>
      <c r="AC23" s="111">
        <v>1.0980377488863604E-2</v>
      </c>
      <c r="AD23" s="111">
        <v>2.6984102342231073E-2</v>
      </c>
      <c r="AE23" s="111">
        <v>1.4332765885368042E-2</v>
      </c>
      <c r="AF23" s="111">
        <v>1.4269288647233142E-2</v>
      </c>
      <c r="AG23" s="111">
        <v>6.4511985093905063E-3</v>
      </c>
      <c r="AH23" s="111">
        <v>1.187347777174882E-2</v>
      </c>
      <c r="AI23" s="111">
        <v>1.0665044526666256E-2</v>
      </c>
      <c r="AJ23" s="111">
        <v>0</v>
      </c>
      <c r="AK23" s="111">
        <v>1.0980377488863604E-2</v>
      </c>
      <c r="AL23" s="111">
        <v>9.6767674475857508E-3</v>
      </c>
      <c r="AM23" s="111">
        <v>7.6133699844670947E-3</v>
      </c>
      <c r="AN23" s="111">
        <v>1.6404113350103874E-2</v>
      </c>
      <c r="AO23" s="111">
        <v>0</v>
      </c>
      <c r="AP23" s="111">
        <v>1.0980377488863604E-2</v>
      </c>
      <c r="AQ23" s="111">
        <v>1.6772466379799934E-2</v>
      </c>
      <c r="AR23" s="111">
        <v>1.0766913352119562E-2</v>
      </c>
      <c r="AS23" s="111">
        <v>0</v>
      </c>
      <c r="AT23" s="111">
        <v>0</v>
      </c>
      <c r="AU23" s="111">
        <v>1.0980377488863604E-2</v>
      </c>
      <c r="AV23" s="111">
        <v>1.2950099744297023E-2</v>
      </c>
      <c r="AW23" s="111">
        <v>1.0251418924688432E-2</v>
      </c>
      <c r="AX23" s="111">
        <v>0</v>
      </c>
      <c r="AY23" s="112">
        <v>0</v>
      </c>
      <c r="AZ23" s="3"/>
    </row>
    <row r="24" spans="1:52" ht="15.5" x14ac:dyDescent="0.35">
      <c r="A24" s="109"/>
      <c r="B24" s="132" t="s">
        <v>64</v>
      </c>
      <c r="C24" s="110">
        <v>7.1056934162647568E-3</v>
      </c>
      <c r="D24" s="111">
        <v>7.1056934162647568E-3</v>
      </c>
      <c r="E24" s="111">
        <v>0</v>
      </c>
      <c r="F24" s="111">
        <v>7.1056934162647568E-3</v>
      </c>
      <c r="G24" s="111">
        <v>4.3623557126363406E-3</v>
      </c>
      <c r="H24" s="111">
        <v>4.5997637854737171E-3</v>
      </c>
      <c r="I24" s="111">
        <v>0</v>
      </c>
      <c r="J24" s="111">
        <v>8.4130571980057713E-3</v>
      </c>
      <c r="K24" s="111">
        <v>9.4349767539083518E-3</v>
      </c>
      <c r="L24" s="111">
        <v>8.0825942218851407E-3</v>
      </c>
      <c r="M24" s="111">
        <v>0</v>
      </c>
      <c r="N24" s="111">
        <v>7.1056934162647568E-3</v>
      </c>
      <c r="O24" s="111">
        <v>0</v>
      </c>
      <c r="P24" s="111">
        <v>0</v>
      </c>
      <c r="Q24" s="111">
        <v>6.1630050787191294E-3</v>
      </c>
      <c r="R24" s="111">
        <v>8.8322534316250551E-3</v>
      </c>
      <c r="S24" s="111">
        <v>7.7797303374250682E-3</v>
      </c>
      <c r="T24" s="111">
        <v>0</v>
      </c>
      <c r="U24" s="111">
        <v>0</v>
      </c>
      <c r="V24" s="111">
        <v>0</v>
      </c>
      <c r="W24" s="111">
        <v>7.1056934162647568E-3</v>
      </c>
      <c r="X24" s="111">
        <v>6.4876170908565898E-3</v>
      </c>
      <c r="Y24" s="111">
        <v>7.7822974505955995E-3</v>
      </c>
      <c r="Z24" s="111">
        <v>0</v>
      </c>
      <c r="AA24" s="111">
        <v>0</v>
      </c>
      <c r="AB24" s="111">
        <v>0</v>
      </c>
      <c r="AC24" s="111">
        <v>7.1056934162647568E-3</v>
      </c>
      <c r="AD24" s="111">
        <v>0</v>
      </c>
      <c r="AE24" s="111">
        <v>7.6050707000143289E-3</v>
      </c>
      <c r="AF24" s="111">
        <v>4.6434498324377724E-3</v>
      </c>
      <c r="AG24" s="111">
        <v>6.439240853471041E-3</v>
      </c>
      <c r="AH24" s="111">
        <v>7.920545572024873E-3</v>
      </c>
      <c r="AI24" s="111">
        <v>8.2707104676834411E-3</v>
      </c>
      <c r="AJ24" s="111">
        <v>9.1179766024001799E-3</v>
      </c>
      <c r="AK24" s="111">
        <v>7.1056934162647568E-3</v>
      </c>
      <c r="AL24" s="111">
        <v>1.4319618388823542E-2</v>
      </c>
      <c r="AM24" s="111">
        <v>5.6877027469636431E-3</v>
      </c>
      <c r="AN24" s="111">
        <v>2.7607841647565362E-3</v>
      </c>
      <c r="AO24" s="111">
        <v>1.3407849448987309E-2</v>
      </c>
      <c r="AP24" s="111">
        <v>7.1056934162647568E-3</v>
      </c>
      <c r="AQ24" s="111">
        <v>0</v>
      </c>
      <c r="AR24" s="111">
        <v>7.7252013236282909E-3</v>
      </c>
      <c r="AS24" s="111">
        <v>0</v>
      </c>
      <c r="AT24" s="111">
        <v>0</v>
      </c>
      <c r="AU24" s="111">
        <v>7.1056934162647568E-3</v>
      </c>
      <c r="AV24" s="111">
        <v>0</v>
      </c>
      <c r="AW24" s="111">
        <v>1.1132250200312603E-2</v>
      </c>
      <c r="AX24" s="111">
        <v>0</v>
      </c>
      <c r="AY24" s="112">
        <v>0</v>
      </c>
      <c r="AZ24" s="3"/>
    </row>
    <row r="25" spans="1:52" ht="15.5" x14ac:dyDescent="0.35">
      <c r="A25" s="113"/>
      <c r="B25" s="4" t="s">
        <v>53</v>
      </c>
      <c r="C25" s="2">
        <v>8.8353669674982351E-3</v>
      </c>
      <c r="D25" s="114">
        <v>8.8353669674982351E-3</v>
      </c>
      <c r="E25" s="114">
        <v>0</v>
      </c>
      <c r="F25" s="114">
        <v>8.8353669674982351E-3</v>
      </c>
      <c r="G25" s="114">
        <v>1.3087067137909024E-2</v>
      </c>
      <c r="H25" s="114">
        <v>0</v>
      </c>
      <c r="I25" s="114">
        <v>8.3062756264678274E-3</v>
      </c>
      <c r="J25" s="114">
        <v>4.2291431383948454E-3</v>
      </c>
      <c r="K25" s="114">
        <v>1.9384298845641208E-2</v>
      </c>
      <c r="L25" s="114">
        <v>8.0825942218851407E-3</v>
      </c>
      <c r="M25" s="114">
        <v>0</v>
      </c>
      <c r="N25" s="114">
        <v>8.8353669674982351E-3</v>
      </c>
      <c r="O25" s="114">
        <v>0</v>
      </c>
      <c r="P25" s="114">
        <v>0</v>
      </c>
      <c r="Q25" s="114">
        <v>2.3475090458390371E-2</v>
      </c>
      <c r="R25" s="114">
        <v>7.9820197496151685E-3</v>
      </c>
      <c r="S25" s="114">
        <v>7.4886837434201261E-3</v>
      </c>
      <c r="T25" s="114">
        <v>5.9544787166272359E-3</v>
      </c>
      <c r="U25" s="114">
        <v>0</v>
      </c>
      <c r="V25" s="114">
        <v>0</v>
      </c>
      <c r="W25" s="114">
        <v>8.8353669674982351E-3</v>
      </c>
      <c r="X25" s="114">
        <v>1.1344234354984335E-2</v>
      </c>
      <c r="Y25" s="114">
        <v>6.354188838609289E-3</v>
      </c>
      <c r="Z25" s="114">
        <v>0</v>
      </c>
      <c r="AA25" s="114">
        <v>0</v>
      </c>
      <c r="AB25" s="114">
        <v>0</v>
      </c>
      <c r="AC25" s="114">
        <v>8.8353669674982351E-3</v>
      </c>
      <c r="AD25" s="114">
        <v>0</v>
      </c>
      <c r="AE25" s="114">
        <v>0</v>
      </c>
      <c r="AF25" s="114">
        <v>1.671067988859477E-2</v>
      </c>
      <c r="AG25" s="114">
        <v>1.200129556578273E-2</v>
      </c>
      <c r="AH25" s="114">
        <v>7.4826898259466911E-3</v>
      </c>
      <c r="AI25" s="114">
        <v>4.4257463703088022E-3</v>
      </c>
      <c r="AJ25" s="114">
        <v>2.6649276666744614E-2</v>
      </c>
      <c r="AK25" s="114">
        <v>8.8353669674982351E-3</v>
      </c>
      <c r="AL25" s="114">
        <v>4.3811763667538032E-3</v>
      </c>
      <c r="AM25" s="114">
        <v>1.5177896733191676E-2</v>
      </c>
      <c r="AN25" s="114">
        <v>5.2002164078557376E-3</v>
      </c>
      <c r="AO25" s="114">
        <v>1.6502137504366018E-2</v>
      </c>
      <c r="AP25" s="114">
        <v>8.8353669674982351E-3</v>
      </c>
      <c r="AQ25" s="114">
        <v>1.8054847649993752E-2</v>
      </c>
      <c r="AR25" s="114">
        <v>8.3453753376269129E-3</v>
      </c>
      <c r="AS25" s="114">
        <v>0</v>
      </c>
      <c r="AT25" s="114">
        <v>0</v>
      </c>
      <c r="AU25" s="114">
        <v>8.8353669674982351E-3</v>
      </c>
      <c r="AV25" s="114">
        <v>8.2660140697319705E-3</v>
      </c>
      <c r="AW25" s="114">
        <v>7.698361561920942E-3</v>
      </c>
      <c r="AX25" s="114">
        <v>0.17088645735545932</v>
      </c>
      <c r="AY25" s="115">
        <v>3.4994250844119314E-2</v>
      </c>
      <c r="AZ25" s="3"/>
    </row>
    <row r="26" spans="1:52" ht="15.5" x14ac:dyDescent="0.35">
      <c r="A26" s="113" t="s">
        <v>65</v>
      </c>
      <c r="B26" s="132" t="s">
        <v>9</v>
      </c>
      <c r="C26" s="116">
        <v>1817.9999999999968</v>
      </c>
      <c r="D26" s="117">
        <v>1817.9999999999968</v>
      </c>
      <c r="E26" s="117">
        <v>0</v>
      </c>
      <c r="F26" s="117">
        <v>1817.9999999999968</v>
      </c>
      <c r="G26" s="117">
        <v>241.55366174859435</v>
      </c>
      <c r="H26" s="117">
        <v>208.96781077844082</v>
      </c>
      <c r="I26" s="117">
        <v>112.26704986601821</v>
      </c>
      <c r="J26" s="117">
        <v>716.89971230206015</v>
      </c>
      <c r="K26" s="117">
        <v>408.58952803109776</v>
      </c>
      <c r="L26" s="117">
        <v>125.8078847674268</v>
      </c>
      <c r="M26" s="117">
        <v>3.914352506362663</v>
      </c>
      <c r="N26" s="117">
        <v>1817.9999999999968</v>
      </c>
      <c r="O26" s="117">
        <v>0</v>
      </c>
      <c r="P26" s="117">
        <v>12.774495795796236</v>
      </c>
      <c r="Q26" s="117">
        <v>170.97876486842171</v>
      </c>
      <c r="R26" s="117">
        <v>670.33746968585956</v>
      </c>
      <c r="S26" s="117">
        <v>764.01327035193731</v>
      </c>
      <c r="T26" s="117">
        <v>164.0537387517324</v>
      </c>
      <c r="U26" s="117">
        <v>35.842260546255169</v>
      </c>
      <c r="V26" s="117">
        <v>0</v>
      </c>
      <c r="W26" s="117">
        <v>1817.9999999999968</v>
      </c>
      <c r="X26" s="117">
        <v>912.0211379520116</v>
      </c>
      <c r="Y26" s="117">
        <v>899.64522088956255</v>
      </c>
      <c r="Z26" s="117">
        <v>3.2140375173645479</v>
      </c>
      <c r="AA26" s="117">
        <v>1.974382007782447</v>
      </c>
      <c r="AB26" s="117">
        <v>1.1452216332786433</v>
      </c>
      <c r="AC26" s="117">
        <v>1817.9999999999968</v>
      </c>
      <c r="AD26" s="117">
        <v>74.905128971797367</v>
      </c>
      <c r="AE26" s="117">
        <v>133.70738058843813</v>
      </c>
      <c r="AF26" s="117">
        <v>207.00182042104095</v>
      </c>
      <c r="AG26" s="117">
        <v>313.31351270478274</v>
      </c>
      <c r="AH26" s="117">
        <v>510.38091953462987</v>
      </c>
      <c r="AI26" s="117">
        <v>467.85262992409764</v>
      </c>
      <c r="AJ26" s="117">
        <v>110.83860785521935</v>
      </c>
      <c r="AK26" s="117">
        <v>1817.9999999999968</v>
      </c>
      <c r="AL26" s="117">
        <v>411.19571370753988</v>
      </c>
      <c r="AM26" s="117">
        <v>524.81748319960616</v>
      </c>
      <c r="AN26" s="117">
        <v>730.77106016039147</v>
      </c>
      <c r="AO26" s="117">
        <v>151.21574293246778</v>
      </c>
      <c r="AP26" s="117">
        <v>1817.9999999999968</v>
      </c>
      <c r="AQ26" s="117">
        <v>116.7268776413709</v>
      </c>
      <c r="AR26" s="117">
        <v>1672.2089288803213</v>
      </c>
      <c r="AS26" s="117">
        <v>8.9409987056788349</v>
      </c>
      <c r="AT26" s="117">
        <v>20.123194772627112</v>
      </c>
      <c r="AU26" s="117">
        <v>1817.9999999999968</v>
      </c>
      <c r="AV26" s="117">
        <v>622.87666995531549</v>
      </c>
      <c r="AW26" s="117">
        <v>1160.4258257155011</v>
      </c>
      <c r="AX26" s="117">
        <v>5.639757471894006</v>
      </c>
      <c r="AY26" s="118">
        <v>29.057746857286272</v>
      </c>
      <c r="AZ26" s="3"/>
    </row>
    <row r="27" spans="1:52" ht="15.5" x14ac:dyDescent="0.35">
      <c r="A27" s="109"/>
      <c r="B27" s="132" t="s">
        <v>60</v>
      </c>
      <c r="C27" s="110">
        <v>0.38202744376973585</v>
      </c>
      <c r="D27" s="111">
        <v>0.38202744376973585</v>
      </c>
      <c r="E27" s="111">
        <v>0</v>
      </c>
      <c r="F27" s="111">
        <v>0.38202744376973585</v>
      </c>
      <c r="G27" s="111">
        <v>0.29004800476784165</v>
      </c>
      <c r="H27" s="111">
        <v>0.27709119991610126</v>
      </c>
      <c r="I27" s="111">
        <v>0.25901458020175006</v>
      </c>
      <c r="J27" s="111">
        <v>0.28626799976141676</v>
      </c>
      <c r="K27" s="111">
        <v>0.71425804017379169</v>
      </c>
      <c r="L27" s="111">
        <v>0.31354207389150018</v>
      </c>
      <c r="M27" s="111">
        <v>0.24829741678123837</v>
      </c>
      <c r="N27" s="111">
        <v>0.38202744376973585</v>
      </c>
      <c r="O27" s="111">
        <v>0</v>
      </c>
      <c r="P27" s="111">
        <v>0.59632378574459555</v>
      </c>
      <c r="Q27" s="111">
        <v>0.43496919134163881</v>
      </c>
      <c r="R27" s="111">
        <v>0.46107657251917183</v>
      </c>
      <c r="S27" s="111">
        <v>0.32205015542995935</v>
      </c>
      <c r="T27" s="111">
        <v>0.28326020513622252</v>
      </c>
      <c r="U27" s="111">
        <v>0.30523384149883237</v>
      </c>
      <c r="V27" s="111">
        <v>0</v>
      </c>
      <c r="W27" s="111">
        <v>0.38202744376973585</v>
      </c>
      <c r="X27" s="111">
        <v>0.40090708574890677</v>
      </c>
      <c r="Y27" s="111">
        <v>0.36430464695659076</v>
      </c>
      <c r="Z27" s="111">
        <v>0</v>
      </c>
      <c r="AA27" s="111">
        <v>0</v>
      </c>
      <c r="AB27" s="111">
        <v>1</v>
      </c>
      <c r="AC27" s="111">
        <v>0.38202744376973585</v>
      </c>
      <c r="AD27" s="111">
        <v>0.31816311486731874</v>
      </c>
      <c r="AE27" s="111">
        <v>0.46368734934551925</v>
      </c>
      <c r="AF27" s="111">
        <v>0.38864541847272266</v>
      </c>
      <c r="AG27" s="111">
        <v>0.39396690132218259</v>
      </c>
      <c r="AH27" s="111">
        <v>0.37938221569647573</v>
      </c>
      <c r="AI27" s="111">
        <v>0.38222972848408143</v>
      </c>
      <c r="AJ27" s="111">
        <v>0.29189587166162279</v>
      </c>
      <c r="AK27" s="111">
        <v>0.38202744376973585</v>
      </c>
      <c r="AL27" s="111">
        <v>0.37599218296940534</v>
      </c>
      <c r="AM27" s="111">
        <v>0.36946864876339669</v>
      </c>
      <c r="AN27" s="111">
        <v>0.39963132227829362</v>
      </c>
      <c r="AO27" s="111">
        <v>0.35695296192241377</v>
      </c>
      <c r="AP27" s="111">
        <v>0.38202744376973585</v>
      </c>
      <c r="AQ27" s="111">
        <v>0.43746918253402034</v>
      </c>
      <c r="AR27" s="111">
        <v>0.37932957668530337</v>
      </c>
      <c r="AS27" s="111">
        <v>0.2267619068401778</v>
      </c>
      <c r="AT27" s="111">
        <v>0.3536067744286307</v>
      </c>
      <c r="AU27" s="111">
        <v>0.38202744376973585</v>
      </c>
      <c r="AV27" s="111">
        <v>0.37204968330089633</v>
      </c>
      <c r="AW27" s="111">
        <v>0.38968768685350663</v>
      </c>
      <c r="AX27" s="111">
        <v>0.31368303304786233</v>
      </c>
      <c r="AY27" s="112">
        <v>0.30326071070422728</v>
      </c>
      <c r="AZ27" s="3"/>
    </row>
    <row r="28" spans="1:52" ht="15.5" x14ac:dyDescent="0.35">
      <c r="A28" s="109"/>
      <c r="B28" s="132" t="s">
        <v>61</v>
      </c>
      <c r="C28" s="110">
        <v>0.36740275929659488</v>
      </c>
      <c r="D28" s="111">
        <v>0.36740275929659488</v>
      </c>
      <c r="E28" s="111">
        <v>0</v>
      </c>
      <c r="F28" s="111">
        <v>0.36740275929659488</v>
      </c>
      <c r="G28" s="111">
        <v>0.38261262738733071</v>
      </c>
      <c r="H28" s="111">
        <v>0.45130854408349391</v>
      </c>
      <c r="I28" s="111">
        <v>0.49202798009273541</v>
      </c>
      <c r="J28" s="111">
        <v>0.38698406698704035</v>
      </c>
      <c r="K28" s="111">
        <v>0.21331838928689981</v>
      </c>
      <c r="L28" s="111">
        <v>0.48041284134680423</v>
      </c>
      <c r="M28" s="111">
        <v>0.24042222339688377</v>
      </c>
      <c r="N28" s="111">
        <v>0.36740275929659488</v>
      </c>
      <c r="O28" s="111">
        <v>0</v>
      </c>
      <c r="P28" s="111">
        <v>0.2303832683553714</v>
      </c>
      <c r="Q28" s="111">
        <v>0.39135122998362659</v>
      </c>
      <c r="R28" s="111">
        <v>0.31635467092192127</v>
      </c>
      <c r="S28" s="111">
        <v>0.39811326740870112</v>
      </c>
      <c r="T28" s="111">
        <v>0.40403156890397257</v>
      </c>
      <c r="U28" s="111">
        <v>0.43444073151589024</v>
      </c>
      <c r="V28" s="111">
        <v>0</v>
      </c>
      <c r="W28" s="111">
        <v>0.36740275929659488</v>
      </c>
      <c r="X28" s="111">
        <v>0.36929230281949527</v>
      </c>
      <c r="Y28" s="111">
        <v>0.36455332688095388</v>
      </c>
      <c r="Z28" s="111">
        <v>0.37111883255476596</v>
      </c>
      <c r="AA28" s="111">
        <v>1</v>
      </c>
      <c r="AB28" s="111">
        <v>0</v>
      </c>
      <c r="AC28" s="111">
        <v>0.36740275929659488</v>
      </c>
      <c r="AD28" s="111">
        <v>0.38355705758012637</v>
      </c>
      <c r="AE28" s="111">
        <v>0.36148331425298785</v>
      </c>
      <c r="AF28" s="111">
        <v>0.35320267312947673</v>
      </c>
      <c r="AG28" s="111">
        <v>0.37593392571612805</v>
      </c>
      <c r="AH28" s="111">
        <v>0.38379399204788528</v>
      </c>
      <c r="AI28" s="111">
        <v>0.3656307264452674</v>
      </c>
      <c r="AJ28" s="111">
        <v>0.29803365858709752</v>
      </c>
      <c r="AK28" s="111">
        <v>0.36740275929659488</v>
      </c>
      <c r="AL28" s="111">
        <v>0.35801329105698476</v>
      </c>
      <c r="AM28" s="111">
        <v>0.34895714657217758</v>
      </c>
      <c r="AN28" s="111">
        <v>0.4003882952680064</v>
      </c>
      <c r="AO28" s="111">
        <v>0.29754636903779552</v>
      </c>
      <c r="AP28" s="111">
        <v>0.36740275929659488</v>
      </c>
      <c r="AQ28" s="111">
        <v>0.35260638055971333</v>
      </c>
      <c r="AR28" s="111">
        <v>0.36805266404878068</v>
      </c>
      <c r="AS28" s="111">
        <v>0.55590835662939686</v>
      </c>
      <c r="AT28" s="111">
        <v>0.31546916958853788</v>
      </c>
      <c r="AU28" s="111">
        <v>0.36740275929659488</v>
      </c>
      <c r="AV28" s="111">
        <v>0.38762196987832437</v>
      </c>
      <c r="AW28" s="111">
        <v>0.36039588114607574</v>
      </c>
      <c r="AX28" s="111">
        <v>0.17088645735545932</v>
      </c>
      <c r="AY28" s="112">
        <v>0.25194962636709645</v>
      </c>
      <c r="AZ28" s="3"/>
    </row>
    <row r="29" spans="1:52" ht="15.5" x14ac:dyDescent="0.35">
      <c r="A29" s="109"/>
      <c r="B29" s="132" t="s">
        <v>66</v>
      </c>
      <c r="C29" s="110">
        <v>0.15059071136981875</v>
      </c>
      <c r="D29" s="111">
        <v>0.15059071136981875</v>
      </c>
      <c r="E29" s="111">
        <v>0</v>
      </c>
      <c r="F29" s="111">
        <v>0.15059071136981875</v>
      </c>
      <c r="G29" s="111">
        <v>0.23158536404700786</v>
      </c>
      <c r="H29" s="111">
        <v>0.15562708152878568</v>
      </c>
      <c r="I29" s="111">
        <v>9.1269105165932368E-2</v>
      </c>
      <c r="J29" s="111">
        <v>0.20671341474751731</v>
      </c>
      <c r="K29" s="111">
        <v>3.0841651608782539E-2</v>
      </c>
      <c r="L29" s="111">
        <v>0.1054864540578192</v>
      </c>
      <c r="M29" s="111">
        <v>0.25564017991093896</v>
      </c>
      <c r="N29" s="111">
        <v>0.15059071136981875</v>
      </c>
      <c r="O29" s="111">
        <v>0</v>
      </c>
      <c r="P29" s="111">
        <v>0.17329294590003305</v>
      </c>
      <c r="Q29" s="111">
        <v>9.6436946746881205E-2</v>
      </c>
      <c r="R29" s="111">
        <v>0.1309470166183811</v>
      </c>
      <c r="S29" s="111">
        <v>0.18055383756951382</v>
      </c>
      <c r="T29" s="111">
        <v>0.15867734791870006</v>
      </c>
      <c r="U29" s="111">
        <v>9.250759545481993E-2</v>
      </c>
      <c r="V29" s="111">
        <v>0</v>
      </c>
      <c r="W29" s="111">
        <v>0.15059071136981875</v>
      </c>
      <c r="X29" s="111">
        <v>0.1317189717865877</v>
      </c>
      <c r="Y29" s="111">
        <v>0.16965888258448072</v>
      </c>
      <c r="Z29" s="111">
        <v>0.31444058372261691</v>
      </c>
      <c r="AA29" s="111">
        <v>0</v>
      </c>
      <c r="AB29" s="111">
        <v>0</v>
      </c>
      <c r="AC29" s="111">
        <v>0.15059071136981875</v>
      </c>
      <c r="AD29" s="111">
        <v>0.19072728189110458</v>
      </c>
      <c r="AE29" s="111">
        <v>0.10740332787502338</v>
      </c>
      <c r="AF29" s="111">
        <v>0.17398715112893723</v>
      </c>
      <c r="AG29" s="111">
        <v>0.14006342290119148</v>
      </c>
      <c r="AH29" s="111">
        <v>0.15045204657083641</v>
      </c>
      <c r="AI29" s="111">
        <v>0.14008007409109546</v>
      </c>
      <c r="AJ29" s="111">
        <v>0.20663142063947618</v>
      </c>
      <c r="AK29" s="111">
        <v>0.15059071136981875</v>
      </c>
      <c r="AL29" s="111">
        <v>0.16636914759265095</v>
      </c>
      <c r="AM29" s="111">
        <v>0.15452943082156476</v>
      </c>
      <c r="AN29" s="111">
        <v>0.12880961147318284</v>
      </c>
      <c r="AO29" s="111">
        <v>0.1992752143628696</v>
      </c>
      <c r="AP29" s="111">
        <v>0.15059071136981875</v>
      </c>
      <c r="AQ29" s="111">
        <v>0.14281833940335439</v>
      </c>
      <c r="AR29" s="111">
        <v>0.15088363838435959</v>
      </c>
      <c r="AS29" s="111">
        <v>0</v>
      </c>
      <c r="AT29" s="111">
        <v>0.2382428420409945</v>
      </c>
      <c r="AU29" s="111">
        <v>0.15059071136981875</v>
      </c>
      <c r="AV29" s="111">
        <v>0.15834856368407699</v>
      </c>
      <c r="AW29" s="111">
        <v>0.14241015079455541</v>
      </c>
      <c r="AX29" s="111">
        <v>0.17919632858380699</v>
      </c>
      <c r="AY29" s="112">
        <v>0.30543478181799871</v>
      </c>
      <c r="AZ29" s="3"/>
    </row>
    <row r="30" spans="1:52" ht="15.5" x14ac:dyDescent="0.35">
      <c r="A30" s="109"/>
      <c r="B30" s="132" t="s">
        <v>67</v>
      </c>
      <c r="C30" s="110">
        <v>4.3250426597078298E-2</v>
      </c>
      <c r="D30" s="111">
        <v>4.3250426597078298E-2</v>
      </c>
      <c r="E30" s="111">
        <v>0</v>
      </c>
      <c r="F30" s="111">
        <v>4.3250426597078298E-2</v>
      </c>
      <c r="G30" s="111">
        <v>4.798591283899975E-2</v>
      </c>
      <c r="H30" s="111">
        <v>2.8991924527347845E-2</v>
      </c>
      <c r="I30" s="111">
        <v>7.455662718778297E-2</v>
      </c>
      <c r="J30" s="111">
        <v>6.2197722434334211E-2</v>
      </c>
      <c r="K30" s="111">
        <v>1.1793720942385439E-2</v>
      </c>
      <c r="L30" s="111">
        <v>1.7490835700174824E-2</v>
      </c>
      <c r="M30" s="111">
        <v>0.25564017991093896</v>
      </c>
      <c r="N30" s="111">
        <v>4.3250426597078298E-2</v>
      </c>
      <c r="O30" s="111">
        <v>0</v>
      </c>
      <c r="P30" s="111">
        <v>0</v>
      </c>
      <c r="Q30" s="111">
        <v>2.9097276472035118E-2</v>
      </c>
      <c r="R30" s="111">
        <v>3.899764429944691E-2</v>
      </c>
      <c r="S30" s="111">
        <v>4.5927261735476857E-2</v>
      </c>
      <c r="T30" s="111">
        <v>6.7647261310661511E-2</v>
      </c>
      <c r="U30" s="111">
        <v>3.6991343919078677E-2</v>
      </c>
      <c r="V30" s="111">
        <v>0</v>
      </c>
      <c r="W30" s="111">
        <v>4.3250426597078298E-2</v>
      </c>
      <c r="X30" s="111">
        <v>4.2895418630241169E-2</v>
      </c>
      <c r="Y30" s="111">
        <v>4.3914807886538627E-2</v>
      </c>
      <c r="Z30" s="111">
        <v>0</v>
      </c>
      <c r="AA30" s="111">
        <v>0</v>
      </c>
      <c r="AB30" s="111">
        <v>0</v>
      </c>
      <c r="AC30" s="111">
        <v>4.3250426597078298E-2</v>
      </c>
      <c r="AD30" s="111">
        <v>4.0476153513346602E-2</v>
      </c>
      <c r="AE30" s="111">
        <v>2.9621745984003609E-2</v>
      </c>
      <c r="AF30" s="111">
        <v>2.8369575834155072E-2</v>
      </c>
      <c r="AG30" s="111">
        <v>3.8479351381494269E-2</v>
      </c>
      <c r="AH30" s="111">
        <v>3.0050438429679079E-2</v>
      </c>
      <c r="AI30" s="111">
        <v>7.0919319883406537E-2</v>
      </c>
      <c r="AJ30" s="111">
        <v>4.6835148713464322E-2</v>
      </c>
      <c r="AK30" s="111">
        <v>4.3250426597078298E-2</v>
      </c>
      <c r="AL30" s="111">
        <v>3.902006463352653E-2</v>
      </c>
      <c r="AM30" s="111">
        <v>5.0377720907795256E-2</v>
      </c>
      <c r="AN30" s="111">
        <v>3.8270824528878644E-2</v>
      </c>
      <c r="AO30" s="111">
        <v>5.4082150169384093E-2</v>
      </c>
      <c r="AP30" s="111">
        <v>4.3250426597078298E-2</v>
      </c>
      <c r="AQ30" s="111">
        <v>5.072012812950618E-2</v>
      </c>
      <c r="AR30" s="111">
        <v>4.2365418590894134E-2</v>
      </c>
      <c r="AS30" s="111">
        <v>0</v>
      </c>
      <c r="AT30" s="111">
        <v>9.2681213941837065E-2</v>
      </c>
      <c r="AU30" s="111">
        <v>4.3250426597078298E-2</v>
      </c>
      <c r="AV30" s="111">
        <v>3.7081519031433627E-2</v>
      </c>
      <c r="AW30" s="111">
        <v>4.4365372144246615E-2</v>
      </c>
      <c r="AX30" s="111">
        <v>0.16534772365741213</v>
      </c>
      <c r="AY30" s="112">
        <v>0.1072628863480579</v>
      </c>
      <c r="AZ30" s="3"/>
    </row>
    <row r="31" spans="1:52" ht="15.5" x14ac:dyDescent="0.35">
      <c r="A31" s="109"/>
      <c r="B31" s="132" t="s">
        <v>64</v>
      </c>
      <c r="C31" s="110">
        <v>7.1167584932573915E-3</v>
      </c>
      <c r="D31" s="111">
        <v>7.1167584932573915E-3</v>
      </c>
      <c r="E31" s="111">
        <v>0</v>
      </c>
      <c r="F31" s="111">
        <v>7.1167584932573915E-3</v>
      </c>
      <c r="G31" s="111">
        <v>8.7247114252726812E-3</v>
      </c>
      <c r="H31" s="111">
        <v>9.6639748424492793E-3</v>
      </c>
      <c r="I31" s="111">
        <v>8.3062756264678274E-3</v>
      </c>
      <c r="J31" s="111">
        <v>9.6457592724431811E-3</v>
      </c>
      <c r="K31" s="111">
        <v>2.358744188477088E-3</v>
      </c>
      <c r="L31" s="111">
        <v>0</v>
      </c>
      <c r="M31" s="111">
        <v>0</v>
      </c>
      <c r="N31" s="111">
        <v>7.1167584932573915E-3</v>
      </c>
      <c r="O31" s="111">
        <v>0</v>
      </c>
      <c r="P31" s="111">
        <v>0</v>
      </c>
      <c r="Q31" s="111">
        <v>0</v>
      </c>
      <c r="R31" s="111">
        <v>4.4442031786233651E-3</v>
      </c>
      <c r="S31" s="111">
        <v>9.0105245968729458E-3</v>
      </c>
      <c r="T31" s="111">
        <v>1.8743801182267979E-2</v>
      </c>
      <c r="U31" s="111">
        <v>0</v>
      </c>
      <c r="V31" s="111">
        <v>0</v>
      </c>
      <c r="W31" s="111">
        <v>7.1167584932573915E-3</v>
      </c>
      <c r="X31" s="111">
        <v>5.3973229290037502E-3</v>
      </c>
      <c r="Y31" s="111">
        <v>8.9099504504803282E-3</v>
      </c>
      <c r="Z31" s="111">
        <v>0</v>
      </c>
      <c r="AA31" s="111">
        <v>0</v>
      </c>
      <c r="AB31" s="111">
        <v>0</v>
      </c>
      <c r="AC31" s="111">
        <v>7.1167584932573915E-3</v>
      </c>
      <c r="AD31" s="111">
        <v>1.4067701513923741E-2</v>
      </c>
      <c r="AE31" s="111">
        <v>1.4766439960855644E-2</v>
      </c>
      <c r="AF31" s="111">
        <v>4.7255580531077694E-3</v>
      </c>
      <c r="AG31" s="111">
        <v>3.2255992546952532E-3</v>
      </c>
      <c r="AH31" s="111">
        <v>9.7441503041879839E-3</v>
      </c>
      <c r="AI31" s="111">
        <v>4.2768099740173359E-3</v>
      </c>
      <c r="AJ31" s="111">
        <v>8.5455223240411098E-3</v>
      </c>
      <c r="AK31" s="111">
        <v>7.1167584932573915E-3</v>
      </c>
      <c r="AL31" s="111">
        <v>2.3034622351780793E-3</v>
      </c>
      <c r="AM31" s="111">
        <v>1.1425561965534341E-2</v>
      </c>
      <c r="AN31" s="111">
        <v>8.2033331570914667E-3</v>
      </c>
      <c r="AO31" s="111">
        <v>0</v>
      </c>
      <c r="AP31" s="111">
        <v>7.1167584932573915E-3</v>
      </c>
      <c r="AQ31" s="111">
        <v>0</v>
      </c>
      <c r="AR31" s="111">
        <v>7.7372311062859399E-3</v>
      </c>
      <c r="AS31" s="111">
        <v>0</v>
      </c>
      <c r="AT31" s="111">
        <v>0</v>
      </c>
      <c r="AU31" s="111">
        <v>7.1167584932573915E-3</v>
      </c>
      <c r="AV31" s="111">
        <v>6.3320106167030132E-3</v>
      </c>
      <c r="AW31" s="111">
        <v>7.7507799760855442E-3</v>
      </c>
      <c r="AX31" s="111">
        <v>0</v>
      </c>
      <c r="AY31" s="112">
        <v>0</v>
      </c>
      <c r="AZ31" s="3"/>
    </row>
    <row r="32" spans="1:52" ht="15.5" x14ac:dyDescent="0.35">
      <c r="A32" s="113"/>
      <c r="B32" s="4" t="s">
        <v>53</v>
      </c>
      <c r="C32" s="2">
        <v>4.9611900473518607E-2</v>
      </c>
      <c r="D32" s="114">
        <v>4.9611900473518607E-2</v>
      </c>
      <c r="E32" s="114">
        <v>0</v>
      </c>
      <c r="F32" s="114">
        <v>4.9611900473518607E-2</v>
      </c>
      <c r="G32" s="114">
        <v>3.9043379533542005E-2</v>
      </c>
      <c r="H32" s="114">
        <v>7.7317275101826233E-2</v>
      </c>
      <c r="I32" s="114">
        <v>7.4825431725332639E-2</v>
      </c>
      <c r="J32" s="114">
        <v>4.819103679725259E-2</v>
      </c>
      <c r="K32" s="114">
        <v>2.7429453799659161E-2</v>
      </c>
      <c r="L32" s="114">
        <v>8.3067795003703496E-2</v>
      </c>
      <c r="M32" s="114">
        <v>0</v>
      </c>
      <c r="N32" s="114">
        <v>4.9611900473518607E-2</v>
      </c>
      <c r="O32" s="114">
        <v>0</v>
      </c>
      <c r="P32" s="114">
        <v>0</v>
      </c>
      <c r="Q32" s="114">
        <v>4.8145355455818356E-2</v>
      </c>
      <c r="R32" s="114">
        <v>4.8179892462455041E-2</v>
      </c>
      <c r="S32" s="114">
        <v>4.4344953259476474E-2</v>
      </c>
      <c r="T32" s="114">
        <v>6.7639815548176108E-2</v>
      </c>
      <c r="U32" s="114">
        <v>0.13082648761137869</v>
      </c>
      <c r="V32" s="114">
        <v>0</v>
      </c>
      <c r="W32" s="114">
        <v>4.9611900473518607E-2</v>
      </c>
      <c r="X32" s="114">
        <v>4.9788898085766746E-2</v>
      </c>
      <c r="Y32" s="114">
        <v>4.8658385240959411E-2</v>
      </c>
      <c r="Z32" s="114">
        <v>0.31444058372261691</v>
      </c>
      <c r="AA32" s="114">
        <v>0</v>
      </c>
      <c r="AB32" s="114">
        <v>0</v>
      </c>
      <c r="AC32" s="114">
        <v>4.9611900473518607E-2</v>
      </c>
      <c r="AD32" s="114">
        <v>5.3008690634179852E-2</v>
      </c>
      <c r="AE32" s="114">
        <v>2.3037822581610273E-2</v>
      </c>
      <c r="AF32" s="114">
        <v>5.1069623381602425E-2</v>
      </c>
      <c r="AG32" s="114">
        <v>4.833079942430784E-2</v>
      </c>
      <c r="AH32" s="114">
        <v>4.6577156950932869E-2</v>
      </c>
      <c r="AI32" s="114">
        <v>3.6863341122129516E-2</v>
      </c>
      <c r="AJ32" s="114">
        <v>0.14805837807429703</v>
      </c>
      <c r="AK32" s="114">
        <v>4.9611900473518607E-2</v>
      </c>
      <c r="AL32" s="114">
        <v>5.8301851512253089E-2</v>
      </c>
      <c r="AM32" s="114">
        <v>6.5241490969527346E-2</v>
      </c>
      <c r="AN32" s="114">
        <v>2.4696613294547563E-2</v>
      </c>
      <c r="AO32" s="114">
        <v>9.21433045075368E-2</v>
      </c>
      <c r="AP32" s="114">
        <v>4.9611900473518607E-2</v>
      </c>
      <c r="AQ32" s="114">
        <v>1.6385969373405324E-2</v>
      </c>
      <c r="AR32" s="114">
        <v>5.1631471184380349E-2</v>
      </c>
      <c r="AS32" s="114">
        <v>0.21732973653042525</v>
      </c>
      <c r="AT32" s="114">
        <v>0</v>
      </c>
      <c r="AU32" s="114">
        <v>4.9611900473518607E-2</v>
      </c>
      <c r="AV32" s="114">
        <v>3.8566253488565766E-2</v>
      </c>
      <c r="AW32" s="114">
        <v>5.5390129085537164E-2</v>
      </c>
      <c r="AX32" s="114">
        <v>0.17088645735545932</v>
      </c>
      <c r="AY32" s="115">
        <v>3.2091994762619536E-2</v>
      </c>
      <c r="AZ32" s="3"/>
    </row>
    <row r="33" spans="1:52" ht="15.5" x14ac:dyDescent="0.35">
      <c r="A33" s="113" t="s">
        <v>68</v>
      </c>
      <c r="B33" s="132" t="s">
        <v>9</v>
      </c>
      <c r="C33" s="116">
        <v>1817.9999999999968</v>
      </c>
      <c r="D33" s="117">
        <v>1817.9999999999968</v>
      </c>
      <c r="E33" s="117">
        <v>0</v>
      </c>
      <c r="F33" s="117">
        <v>1817.9999999999968</v>
      </c>
      <c r="G33" s="117">
        <v>241.55366174859435</v>
      </c>
      <c r="H33" s="117">
        <v>208.96781077844082</v>
      </c>
      <c r="I33" s="117">
        <v>112.26704986601821</v>
      </c>
      <c r="J33" s="117">
        <v>716.89971230206015</v>
      </c>
      <c r="K33" s="117">
        <v>408.58952803109776</v>
      </c>
      <c r="L33" s="117">
        <v>125.8078847674268</v>
      </c>
      <c r="M33" s="117">
        <v>3.914352506362663</v>
      </c>
      <c r="N33" s="117">
        <v>1817.9999999999968</v>
      </c>
      <c r="O33" s="117">
        <v>0</v>
      </c>
      <c r="P33" s="117">
        <v>12.774495795796236</v>
      </c>
      <c r="Q33" s="117">
        <v>170.97876486842171</v>
      </c>
      <c r="R33" s="117">
        <v>670.33746968585956</v>
      </c>
      <c r="S33" s="117">
        <v>764.01327035193731</v>
      </c>
      <c r="T33" s="117">
        <v>164.0537387517324</v>
      </c>
      <c r="U33" s="117">
        <v>35.842260546255169</v>
      </c>
      <c r="V33" s="117">
        <v>0</v>
      </c>
      <c r="W33" s="117">
        <v>1817.9999999999968</v>
      </c>
      <c r="X33" s="117">
        <v>912.0211379520116</v>
      </c>
      <c r="Y33" s="117">
        <v>899.64522088956255</v>
      </c>
      <c r="Z33" s="117">
        <v>3.2140375173645479</v>
      </c>
      <c r="AA33" s="117">
        <v>1.974382007782447</v>
      </c>
      <c r="AB33" s="117">
        <v>1.1452216332786433</v>
      </c>
      <c r="AC33" s="117">
        <v>1817.9999999999968</v>
      </c>
      <c r="AD33" s="117">
        <v>74.905128971797367</v>
      </c>
      <c r="AE33" s="117">
        <v>133.70738058843813</v>
      </c>
      <c r="AF33" s="117">
        <v>207.00182042104095</v>
      </c>
      <c r="AG33" s="117">
        <v>313.31351270478274</v>
      </c>
      <c r="AH33" s="117">
        <v>510.38091953462987</v>
      </c>
      <c r="AI33" s="117">
        <v>467.85262992409764</v>
      </c>
      <c r="AJ33" s="117">
        <v>110.83860785521935</v>
      </c>
      <c r="AK33" s="117">
        <v>1817.9999999999968</v>
      </c>
      <c r="AL33" s="117">
        <v>411.19571370753988</v>
      </c>
      <c r="AM33" s="117">
        <v>524.81748319960616</v>
      </c>
      <c r="AN33" s="117">
        <v>730.77106016039147</v>
      </c>
      <c r="AO33" s="117">
        <v>151.21574293246778</v>
      </c>
      <c r="AP33" s="117">
        <v>1817.9999999999968</v>
      </c>
      <c r="AQ33" s="117">
        <v>116.7268776413709</v>
      </c>
      <c r="AR33" s="117">
        <v>1672.2089288803213</v>
      </c>
      <c r="AS33" s="117">
        <v>8.9409987056788349</v>
      </c>
      <c r="AT33" s="117">
        <v>20.123194772627112</v>
      </c>
      <c r="AU33" s="117">
        <v>1817.9999999999968</v>
      </c>
      <c r="AV33" s="117">
        <v>622.87666995531549</v>
      </c>
      <c r="AW33" s="117">
        <v>1160.4258257155011</v>
      </c>
      <c r="AX33" s="117">
        <v>5.639757471894006</v>
      </c>
      <c r="AY33" s="118">
        <v>29.057746857286272</v>
      </c>
      <c r="AZ33" s="3"/>
    </row>
    <row r="34" spans="1:52" ht="15.5" x14ac:dyDescent="0.35">
      <c r="A34" s="109"/>
      <c r="B34" s="132" t="s">
        <v>69</v>
      </c>
      <c r="C34" s="110">
        <v>0.14955183087974361</v>
      </c>
      <c r="D34" s="111">
        <v>0.14955183087974361</v>
      </c>
      <c r="E34" s="111">
        <v>0</v>
      </c>
      <c r="F34" s="111">
        <v>0.14955183087974361</v>
      </c>
      <c r="G34" s="111">
        <v>0.14134739926092441</v>
      </c>
      <c r="H34" s="111">
        <v>0.11175630271195677</v>
      </c>
      <c r="I34" s="111">
        <v>0.15900151705946425</v>
      </c>
      <c r="J34" s="111">
        <v>0.1642339356887067</v>
      </c>
      <c r="K34" s="111">
        <v>0.15599428344460139</v>
      </c>
      <c r="L34" s="111">
        <v>0.1197162931445392</v>
      </c>
      <c r="M34" s="111">
        <v>0</v>
      </c>
      <c r="N34" s="111">
        <v>0.14955183087974361</v>
      </c>
      <c r="O34" s="111">
        <v>0</v>
      </c>
      <c r="P34" s="111">
        <v>0.17725069521615025</v>
      </c>
      <c r="Q34" s="111">
        <v>0.17343736009903868</v>
      </c>
      <c r="R34" s="111">
        <v>0.13752868161636164</v>
      </c>
      <c r="S34" s="111">
        <v>0.15865958804490021</v>
      </c>
      <c r="T34" s="111">
        <v>0.14049854740965562</v>
      </c>
      <c r="U34" s="111">
        <v>9.7897382662871568E-2</v>
      </c>
      <c r="V34" s="111">
        <v>0</v>
      </c>
      <c r="W34" s="111">
        <v>0.14955183087974361</v>
      </c>
      <c r="X34" s="111">
        <v>0.15884957523462029</v>
      </c>
      <c r="Y34" s="111">
        <v>0.14005569241289034</v>
      </c>
      <c r="Z34" s="111">
        <v>0</v>
      </c>
      <c r="AA34" s="111">
        <v>0.51186843735554211</v>
      </c>
      <c r="AB34" s="111">
        <v>0</v>
      </c>
      <c r="AC34" s="111">
        <v>0.14955183087974361</v>
      </c>
      <c r="AD34" s="111">
        <v>0.13150527038395932</v>
      </c>
      <c r="AE34" s="111">
        <v>0.11958161215071969</v>
      </c>
      <c r="AF34" s="111">
        <v>0.18665105036013346</v>
      </c>
      <c r="AG34" s="111">
        <v>0.1245208827012898</v>
      </c>
      <c r="AH34" s="111">
        <v>0.15081745970562102</v>
      </c>
      <c r="AI34" s="111">
        <v>0.15671200940535157</v>
      </c>
      <c r="AJ34" s="111">
        <v>0.1633203776568439</v>
      </c>
      <c r="AK34" s="111">
        <v>0.14955183087974361</v>
      </c>
      <c r="AL34" s="111">
        <v>0.11201200398346843</v>
      </c>
      <c r="AM34" s="111">
        <v>0.16484111945047655</v>
      </c>
      <c r="AN34" s="111">
        <v>0.16757731431836903</v>
      </c>
      <c r="AO34" s="111">
        <v>0.11145810092032876</v>
      </c>
      <c r="AP34" s="111">
        <v>0.14955183087974361</v>
      </c>
      <c r="AQ34" s="111">
        <v>0.17386500874943478</v>
      </c>
      <c r="AR34" s="111">
        <v>0.14698772200847471</v>
      </c>
      <c r="AS34" s="111">
        <v>0.10779088628027889</v>
      </c>
      <c r="AT34" s="111">
        <v>0.24014922275015096</v>
      </c>
      <c r="AU34" s="111">
        <v>0.14955183087974361</v>
      </c>
      <c r="AV34" s="111">
        <v>0.16516588996891973</v>
      </c>
      <c r="AW34" s="111">
        <v>0.13868703272758634</v>
      </c>
      <c r="AX34" s="111">
        <v>0.17088645735545932</v>
      </c>
      <c r="AY34" s="112">
        <v>0.24459833023450148</v>
      </c>
      <c r="AZ34" s="3"/>
    </row>
    <row r="35" spans="1:52" ht="15.5" x14ac:dyDescent="0.35">
      <c r="A35" s="109"/>
      <c r="B35" s="132" t="s">
        <v>70</v>
      </c>
      <c r="C35" s="110">
        <v>0.12749007935758544</v>
      </c>
      <c r="D35" s="111">
        <v>0.12749007935758544</v>
      </c>
      <c r="E35" s="111">
        <v>0</v>
      </c>
      <c r="F35" s="111">
        <v>0.12749007935758544</v>
      </c>
      <c r="G35" s="111">
        <v>0.14856385439286837</v>
      </c>
      <c r="H35" s="111">
        <v>9.8254164759672691E-2</v>
      </c>
      <c r="I35" s="111">
        <v>0.16619446361647872</v>
      </c>
      <c r="J35" s="111">
        <v>0.16763117116939033</v>
      </c>
      <c r="K35" s="111">
        <v>5.0984843171661381E-2</v>
      </c>
      <c r="L35" s="111">
        <v>0.1247464738207648</v>
      </c>
      <c r="M35" s="111">
        <v>0</v>
      </c>
      <c r="N35" s="111">
        <v>0.12749007935758544</v>
      </c>
      <c r="O35" s="111">
        <v>0</v>
      </c>
      <c r="P35" s="111">
        <v>0.16535693182595601</v>
      </c>
      <c r="Q35" s="111">
        <v>0.24745217834713984</v>
      </c>
      <c r="R35" s="111">
        <v>0.12471333923304834</v>
      </c>
      <c r="S35" s="111">
        <v>0.11342737915916645</v>
      </c>
      <c r="T35" s="111">
        <v>7.0279273870737888E-2</v>
      </c>
      <c r="U35" s="111">
        <v>0.15528931901616874</v>
      </c>
      <c r="V35" s="111">
        <v>0</v>
      </c>
      <c r="W35" s="111">
        <v>0.12749007935758544</v>
      </c>
      <c r="X35" s="111">
        <v>0.13368432180798007</v>
      </c>
      <c r="Y35" s="111">
        <v>0.12210817600054664</v>
      </c>
      <c r="Z35" s="111">
        <v>0</v>
      </c>
      <c r="AA35" s="111">
        <v>0</v>
      </c>
      <c r="AB35" s="111">
        <v>0</v>
      </c>
      <c r="AC35" s="111">
        <v>0.12749007935758544</v>
      </c>
      <c r="AD35" s="111">
        <v>0.15096509277248726</v>
      </c>
      <c r="AE35" s="111">
        <v>0.15142733985560639</v>
      </c>
      <c r="AF35" s="111">
        <v>0.1346116914718283</v>
      </c>
      <c r="AG35" s="111">
        <v>0.14801335182386985</v>
      </c>
      <c r="AH35" s="111">
        <v>0.1313014901050219</v>
      </c>
      <c r="AI35" s="111">
        <v>0.10051689750217102</v>
      </c>
      <c r="AJ35" s="111">
        <v>0.10773893069568728</v>
      </c>
      <c r="AK35" s="111">
        <v>0.12749007935758544</v>
      </c>
      <c r="AL35" s="111">
        <v>8.5554062654393234E-2</v>
      </c>
      <c r="AM35" s="111">
        <v>0.10107417475912621</v>
      </c>
      <c r="AN35" s="111">
        <v>0.18094484148711257</v>
      </c>
      <c r="AO35" s="111">
        <v>7.4878134651238715E-2</v>
      </c>
      <c r="AP35" s="111">
        <v>0.12749007935758544</v>
      </c>
      <c r="AQ35" s="111">
        <v>0.17271591571346231</v>
      </c>
      <c r="AR35" s="111">
        <v>0.12398346891150817</v>
      </c>
      <c r="AS35" s="111">
        <v>0.11303254438730719</v>
      </c>
      <c r="AT35" s="111">
        <v>0.16297050088200435</v>
      </c>
      <c r="AU35" s="111">
        <v>0.12749007935758544</v>
      </c>
      <c r="AV35" s="111">
        <v>0.17493291949242443</v>
      </c>
      <c r="AW35" s="111">
        <v>0.10388660282513471</v>
      </c>
      <c r="AX35" s="111">
        <v>0</v>
      </c>
      <c r="AY35" s="112">
        <v>7.7866775427049936E-2</v>
      </c>
      <c r="AZ35" s="3"/>
    </row>
    <row r="36" spans="1:52" ht="15.5" x14ac:dyDescent="0.35">
      <c r="A36" s="109"/>
      <c r="B36" s="132" t="s">
        <v>71</v>
      </c>
      <c r="C36" s="110">
        <v>9.3677030558524804E-2</v>
      </c>
      <c r="D36" s="111">
        <v>9.3677030558524804E-2</v>
      </c>
      <c r="E36" s="111">
        <v>0</v>
      </c>
      <c r="F36" s="111">
        <v>9.3677030558524804E-2</v>
      </c>
      <c r="G36" s="111">
        <v>0.1373423227589578</v>
      </c>
      <c r="H36" s="111">
        <v>0.10227338208707637</v>
      </c>
      <c r="I36" s="111">
        <v>8.3131707351800463E-2</v>
      </c>
      <c r="J36" s="111">
        <v>0.10402615090624476</v>
      </c>
      <c r="K36" s="111">
        <v>5.2764160856371999E-2</v>
      </c>
      <c r="L36" s="111">
        <v>8.1785836163931674E-2</v>
      </c>
      <c r="M36" s="111">
        <v>0</v>
      </c>
      <c r="N36" s="111">
        <v>9.3677030558524804E-2</v>
      </c>
      <c r="O36" s="111">
        <v>0</v>
      </c>
      <c r="P36" s="111">
        <v>0.33468075335672026</v>
      </c>
      <c r="Q36" s="111">
        <v>0.11701460047483503</v>
      </c>
      <c r="R36" s="111">
        <v>9.535932304068151E-2</v>
      </c>
      <c r="S36" s="111">
        <v>8.8517688233198374E-2</v>
      </c>
      <c r="T36" s="111">
        <v>7.6172930383452839E-2</v>
      </c>
      <c r="U36" s="111">
        <v>5.5085309288304136E-2</v>
      </c>
      <c r="V36" s="111">
        <v>0</v>
      </c>
      <c r="W36" s="111">
        <v>9.3677030558524804E-2</v>
      </c>
      <c r="X36" s="111">
        <v>0.1105479170702918</v>
      </c>
      <c r="Y36" s="111">
        <v>7.7233561427716604E-2</v>
      </c>
      <c r="Z36" s="111">
        <v>0</v>
      </c>
      <c r="AA36" s="111">
        <v>0</v>
      </c>
      <c r="AB36" s="111">
        <v>0</v>
      </c>
      <c r="AC36" s="111">
        <v>9.3677030558524804E-2</v>
      </c>
      <c r="AD36" s="111">
        <v>7.9835731041506403E-2</v>
      </c>
      <c r="AE36" s="111">
        <v>0.10573194440779952</v>
      </c>
      <c r="AF36" s="111">
        <v>0.10306905357878005</v>
      </c>
      <c r="AG36" s="111">
        <v>9.6551392282856835E-2</v>
      </c>
      <c r="AH36" s="111">
        <v>8.1408572691189285E-2</v>
      </c>
      <c r="AI36" s="111">
        <v>0.11546562690628483</v>
      </c>
      <c r="AJ36" s="111">
        <v>2.7345864026138134E-2</v>
      </c>
      <c r="AK36" s="111">
        <v>9.3677030558524804E-2</v>
      </c>
      <c r="AL36" s="111">
        <v>7.3966734281126212E-2</v>
      </c>
      <c r="AM36" s="111">
        <v>8.542623761316627E-2</v>
      </c>
      <c r="AN36" s="111">
        <v>0.11671620861622456</v>
      </c>
      <c r="AO36" s="111">
        <v>6.4570174645648196E-2</v>
      </c>
      <c r="AP36" s="111">
        <v>9.3677030558524804E-2</v>
      </c>
      <c r="AQ36" s="111">
        <v>0.16646323550169032</v>
      </c>
      <c r="AR36" s="111">
        <v>8.962060626026519E-2</v>
      </c>
      <c r="AS36" s="111">
        <v>0.11293255556350226</v>
      </c>
      <c r="AT36" s="111">
        <v>0</v>
      </c>
      <c r="AU36" s="111">
        <v>9.3677030558524804E-2</v>
      </c>
      <c r="AV36" s="111">
        <v>0.1299112097221588</v>
      </c>
      <c r="AW36" s="111">
        <v>7.5394651411842248E-2</v>
      </c>
      <c r="AX36" s="111">
        <v>0.17088645735545932</v>
      </c>
      <c r="AY36" s="112">
        <v>3.2091994762619536E-2</v>
      </c>
      <c r="AZ36" s="3"/>
    </row>
    <row r="37" spans="1:52" ht="15.5" x14ac:dyDescent="0.35">
      <c r="A37" s="109"/>
      <c r="B37" s="132" t="s">
        <v>72</v>
      </c>
      <c r="C37" s="110">
        <v>0.14026948377110521</v>
      </c>
      <c r="D37" s="111">
        <v>0.14026948377110521</v>
      </c>
      <c r="E37" s="111">
        <v>0</v>
      </c>
      <c r="F37" s="111">
        <v>0.14026948377110521</v>
      </c>
      <c r="G37" s="111">
        <v>0.12710664882392098</v>
      </c>
      <c r="H37" s="111">
        <v>0.21684126969884038</v>
      </c>
      <c r="I37" s="111">
        <v>0.14137556346228897</v>
      </c>
      <c r="J37" s="111">
        <v>0.14984336164502318</v>
      </c>
      <c r="K37" s="111">
        <v>8.164295276606183E-2</v>
      </c>
      <c r="L37" s="111">
        <v>0.16214644039192724</v>
      </c>
      <c r="M37" s="111">
        <v>0.4960624033078227</v>
      </c>
      <c r="N37" s="111">
        <v>0.14026948377110521</v>
      </c>
      <c r="O37" s="111">
        <v>0</v>
      </c>
      <c r="P37" s="111">
        <v>9.6015846620479531E-2</v>
      </c>
      <c r="Q37" s="111">
        <v>0.19395461687477411</v>
      </c>
      <c r="R37" s="111">
        <v>0.11719638332820688</v>
      </c>
      <c r="S37" s="111">
        <v>0.14849866361465539</v>
      </c>
      <c r="T37" s="111">
        <v>0.13037254424621178</v>
      </c>
      <c r="U37" s="111">
        <v>0.20135634642629641</v>
      </c>
      <c r="V37" s="111">
        <v>0</v>
      </c>
      <c r="W37" s="111">
        <v>0.14026948377110521</v>
      </c>
      <c r="X37" s="111">
        <v>0.13870237177379605</v>
      </c>
      <c r="Y37" s="111">
        <v>0.14284567246077168</v>
      </c>
      <c r="Z37" s="111">
        <v>0</v>
      </c>
      <c r="AA37" s="111">
        <v>0</v>
      </c>
      <c r="AB37" s="111">
        <v>0</v>
      </c>
      <c r="AC37" s="111">
        <v>0.14026948377110521</v>
      </c>
      <c r="AD37" s="111">
        <v>4.7849693054189506E-2</v>
      </c>
      <c r="AE37" s="111">
        <v>0.10343708461568606</v>
      </c>
      <c r="AF37" s="111">
        <v>0.1567150507751941</v>
      </c>
      <c r="AG37" s="111">
        <v>0.15773270022353697</v>
      </c>
      <c r="AH37" s="111">
        <v>0.13406736459378099</v>
      </c>
      <c r="AI37" s="111">
        <v>0.16715945049726752</v>
      </c>
      <c r="AJ37" s="111">
        <v>8.2136830088557974E-2</v>
      </c>
      <c r="AK37" s="111">
        <v>0.14026948377110521</v>
      </c>
      <c r="AL37" s="111">
        <v>0.16262538669273557</v>
      </c>
      <c r="AM37" s="111">
        <v>0.13253803708817455</v>
      </c>
      <c r="AN37" s="111">
        <v>0.13896460177152453</v>
      </c>
      <c r="AO37" s="111">
        <v>0.1126170516598605</v>
      </c>
      <c r="AP37" s="111">
        <v>0.14026948377110521</v>
      </c>
      <c r="AQ37" s="111">
        <v>0.18898274013122859</v>
      </c>
      <c r="AR37" s="111">
        <v>0.13874942971847257</v>
      </c>
      <c r="AS37" s="111">
        <v>0.10429719214311806</v>
      </c>
      <c r="AT37" s="111">
        <v>0</v>
      </c>
      <c r="AU37" s="111">
        <v>0.14026948377110521</v>
      </c>
      <c r="AV37" s="111">
        <v>0.14679882735989616</v>
      </c>
      <c r="AW37" s="111">
        <v>0.13921249360455604</v>
      </c>
      <c r="AX37" s="111">
        <v>0</v>
      </c>
      <c r="AY37" s="112">
        <v>6.9743326127947994E-2</v>
      </c>
      <c r="AZ37" s="3"/>
    </row>
    <row r="38" spans="1:52" ht="15.5" x14ac:dyDescent="0.35">
      <c r="A38" s="109"/>
      <c r="B38" s="132" t="s">
        <v>73</v>
      </c>
      <c r="C38" s="110">
        <v>0.38420320002549407</v>
      </c>
      <c r="D38" s="111">
        <v>0.38420320002549407</v>
      </c>
      <c r="E38" s="111">
        <v>0</v>
      </c>
      <c r="F38" s="111">
        <v>0.38420320002549407</v>
      </c>
      <c r="G38" s="111">
        <v>0.34552341525287306</v>
      </c>
      <c r="H38" s="111">
        <v>0.3387055890503104</v>
      </c>
      <c r="I38" s="111">
        <v>0.35885876553170015</v>
      </c>
      <c r="J38" s="111">
        <v>0.28900679999838702</v>
      </c>
      <c r="K38" s="111">
        <v>0.60763744184894986</v>
      </c>
      <c r="L38" s="111">
        <v>0.37769715487971667</v>
      </c>
      <c r="M38" s="111">
        <v>0.24829741678123837</v>
      </c>
      <c r="N38" s="111">
        <v>0.38420320002549407</v>
      </c>
      <c r="O38" s="111">
        <v>0</v>
      </c>
      <c r="P38" s="111">
        <v>0.22669577298069399</v>
      </c>
      <c r="Q38" s="111">
        <v>0.22513596855251031</v>
      </c>
      <c r="R38" s="111">
        <v>0.45151843953584458</v>
      </c>
      <c r="S38" s="111">
        <v>0.36251414619945843</v>
      </c>
      <c r="T38" s="111">
        <v>0.39138194050527841</v>
      </c>
      <c r="U38" s="111">
        <v>0.36964762081240576</v>
      </c>
      <c r="V38" s="111">
        <v>0</v>
      </c>
      <c r="W38" s="111">
        <v>0.38420320002549407</v>
      </c>
      <c r="X38" s="111">
        <v>0.34567641576326069</v>
      </c>
      <c r="Y38" s="111">
        <v>0.42117138766303197</v>
      </c>
      <c r="Z38" s="111">
        <v>0.68555941627738304</v>
      </c>
      <c r="AA38" s="111">
        <v>0.48813156264445789</v>
      </c>
      <c r="AB38" s="111">
        <v>1</v>
      </c>
      <c r="AC38" s="111">
        <v>0.38420320002549407</v>
      </c>
      <c r="AD38" s="111">
        <v>0.46981686894381858</v>
      </c>
      <c r="AE38" s="111">
        <v>0.40625763834352163</v>
      </c>
      <c r="AF38" s="111">
        <v>0.31124953815326523</v>
      </c>
      <c r="AG38" s="111">
        <v>0.36037031819348314</v>
      </c>
      <c r="AH38" s="111">
        <v>0.39248795295907557</v>
      </c>
      <c r="AI38" s="111">
        <v>0.38776193446764928</v>
      </c>
      <c r="AJ38" s="111">
        <v>0.45018758671046327</v>
      </c>
      <c r="AK38" s="111">
        <v>0.38420320002549407</v>
      </c>
      <c r="AL38" s="111">
        <v>0.44468541853917382</v>
      </c>
      <c r="AM38" s="111">
        <v>0.39549908852537952</v>
      </c>
      <c r="AN38" s="111">
        <v>0.32592365483179087</v>
      </c>
      <c r="AO38" s="111">
        <v>0.46217587679081673</v>
      </c>
      <c r="AP38" s="111">
        <v>0.38420320002549407</v>
      </c>
      <c r="AQ38" s="111">
        <v>0.22678947578052461</v>
      </c>
      <c r="AR38" s="111">
        <v>0.39514420309051851</v>
      </c>
      <c r="AS38" s="111">
        <v>0.34392026702980483</v>
      </c>
      <c r="AT38" s="111">
        <v>0.40601579834843177</v>
      </c>
      <c r="AU38" s="111">
        <v>0.38420320002549407</v>
      </c>
      <c r="AV38" s="111">
        <v>0.2967511752723197</v>
      </c>
      <c r="AW38" s="111">
        <v>0.43232768202724509</v>
      </c>
      <c r="AX38" s="111">
        <v>0.31368303304786233</v>
      </c>
      <c r="AY38" s="112">
        <v>0.35063730893752082</v>
      </c>
      <c r="AZ38" s="3"/>
    </row>
    <row r="39" spans="1:52" ht="15.5" x14ac:dyDescent="0.35">
      <c r="A39" s="119"/>
      <c r="B39" s="133" t="s">
        <v>74</v>
      </c>
      <c r="C39" s="120">
        <v>0.10480837540755041</v>
      </c>
      <c r="D39" s="121">
        <v>0.10480837540755041</v>
      </c>
      <c r="E39" s="121">
        <v>0</v>
      </c>
      <c r="F39" s="121">
        <v>0.10480837540755041</v>
      </c>
      <c r="G39" s="121">
        <v>0.10011635951045079</v>
      </c>
      <c r="H39" s="121">
        <v>0.13216929169214725</v>
      </c>
      <c r="I39" s="121">
        <v>9.1437982978268287E-2</v>
      </c>
      <c r="J39" s="121">
        <v>0.12525858059225384</v>
      </c>
      <c r="K39" s="121">
        <v>5.0976317912348197E-2</v>
      </c>
      <c r="L39" s="121">
        <v>0.13390780159912186</v>
      </c>
      <c r="M39" s="121">
        <v>0.25564017991093896</v>
      </c>
      <c r="N39" s="121">
        <v>0.10480837540755041</v>
      </c>
      <c r="O39" s="121">
        <v>0</v>
      </c>
      <c r="P39" s="121">
        <v>0</v>
      </c>
      <c r="Q39" s="121">
        <v>4.3005275651702243E-2</v>
      </c>
      <c r="R39" s="121">
        <v>7.3683833245856853E-2</v>
      </c>
      <c r="S39" s="121">
        <v>0.12838253474862266</v>
      </c>
      <c r="T39" s="121">
        <v>0.19129476358466402</v>
      </c>
      <c r="U39" s="121">
        <v>0.1207240217939532</v>
      </c>
      <c r="V39" s="121">
        <v>0</v>
      </c>
      <c r="W39" s="121">
        <v>0.10480837540755041</v>
      </c>
      <c r="X39" s="121">
        <v>0.11253939835005193</v>
      </c>
      <c r="Y39" s="121">
        <v>9.658551003504702E-2</v>
      </c>
      <c r="Z39" s="121">
        <v>0.31444058372261691</v>
      </c>
      <c r="AA39" s="121">
        <v>0</v>
      </c>
      <c r="AB39" s="121">
        <v>0</v>
      </c>
      <c r="AC39" s="121">
        <v>0.10480837540755041</v>
      </c>
      <c r="AD39" s="121">
        <v>0.12002734380403873</v>
      </c>
      <c r="AE39" s="121">
        <v>0.11356438062666657</v>
      </c>
      <c r="AF39" s="121">
        <v>0.10770361566080061</v>
      </c>
      <c r="AG39" s="121">
        <v>0.11281135477496265</v>
      </c>
      <c r="AH39" s="121">
        <v>0.10991715994530903</v>
      </c>
      <c r="AI39" s="121">
        <v>7.2384081221273613E-2</v>
      </c>
      <c r="AJ39" s="121">
        <v>0.1692704108223084</v>
      </c>
      <c r="AK39" s="121">
        <v>0.10480837540755041</v>
      </c>
      <c r="AL39" s="121">
        <v>0.12115639384910117</v>
      </c>
      <c r="AM39" s="121">
        <v>0.12062134256367291</v>
      </c>
      <c r="AN39" s="121">
        <v>6.9873378974978959E-2</v>
      </c>
      <c r="AO39" s="121">
        <v>0.17430066133210675</v>
      </c>
      <c r="AP39" s="121">
        <v>0.10480837540755041</v>
      </c>
      <c r="AQ39" s="121">
        <v>7.1183624123658917E-2</v>
      </c>
      <c r="AR39" s="121">
        <v>0.10551457001076432</v>
      </c>
      <c r="AS39" s="121">
        <v>0.21802655459598871</v>
      </c>
      <c r="AT39" s="121">
        <v>0.19086447801941303</v>
      </c>
      <c r="AU39" s="121">
        <v>0.10480837540755041</v>
      </c>
      <c r="AV39" s="121">
        <v>8.643997818428216E-2</v>
      </c>
      <c r="AW39" s="121">
        <v>0.11049153740364252</v>
      </c>
      <c r="AX39" s="121">
        <v>0.34454405224121915</v>
      </c>
      <c r="AY39" s="122">
        <v>0.22506226451035999</v>
      </c>
      <c r="AZ39" s="3"/>
    </row>
    <row r="40" spans="1:52" ht="15.5" x14ac:dyDescent="0.35">
      <c r="B40" s="7" t="s">
        <v>78</v>
      </c>
      <c r="C40" s="8">
        <f>SUM(C34:C36)</f>
        <v>0.37071894079585388</v>
      </c>
      <c r="D40" s="8">
        <f t="shared" ref="D40:AY40" si="3">SUM(D34:D36)</f>
        <v>0.37071894079585388</v>
      </c>
      <c r="E40" s="8">
        <f t="shared" si="3"/>
        <v>0</v>
      </c>
      <c r="F40" s="8">
        <f t="shared" si="3"/>
        <v>0.37071894079585388</v>
      </c>
      <c r="G40" s="8">
        <f t="shared" si="3"/>
        <v>0.42725357641275058</v>
      </c>
      <c r="H40" s="8">
        <f t="shared" si="3"/>
        <v>0.31228384955870581</v>
      </c>
      <c r="I40" s="8">
        <f t="shared" si="3"/>
        <v>0.40832768802774344</v>
      </c>
      <c r="J40" s="8">
        <f t="shared" si="3"/>
        <v>0.43589125776434179</v>
      </c>
      <c r="K40" s="8">
        <f t="shared" si="3"/>
        <v>0.25974328747263475</v>
      </c>
      <c r="L40" s="8">
        <f t="shared" si="3"/>
        <v>0.32624860312923565</v>
      </c>
      <c r="M40" s="8">
        <f t="shared" si="3"/>
        <v>0</v>
      </c>
      <c r="N40" s="8">
        <f t="shared" si="3"/>
        <v>0.37071894079585388</v>
      </c>
      <c r="O40" s="8">
        <f t="shared" si="3"/>
        <v>0</v>
      </c>
      <c r="P40" s="8">
        <f t="shared" si="3"/>
        <v>0.67728838039882655</v>
      </c>
      <c r="Q40" s="8">
        <f t="shared" si="3"/>
        <v>0.53790413892101352</v>
      </c>
      <c r="R40" s="8">
        <f t="shared" si="3"/>
        <v>0.35760134389009146</v>
      </c>
      <c r="S40" s="8">
        <f t="shared" si="3"/>
        <v>0.36060465543726505</v>
      </c>
      <c r="T40" s="8">
        <f t="shared" si="3"/>
        <v>0.28695075166384637</v>
      </c>
      <c r="U40" s="8">
        <f t="shared" si="3"/>
        <v>0.30827201096734447</v>
      </c>
      <c r="V40" s="8">
        <f t="shared" si="3"/>
        <v>0</v>
      </c>
      <c r="W40" s="8">
        <f t="shared" si="3"/>
        <v>0.37071894079585388</v>
      </c>
      <c r="X40" s="8">
        <f t="shared" si="3"/>
        <v>0.40308181411289212</v>
      </c>
      <c r="Y40" s="8">
        <f t="shared" si="3"/>
        <v>0.33939742984115356</v>
      </c>
      <c r="Z40" s="8">
        <f t="shared" si="3"/>
        <v>0</v>
      </c>
      <c r="AA40" s="8">
        <f t="shared" si="3"/>
        <v>0.51186843735554211</v>
      </c>
      <c r="AB40" s="8">
        <f t="shared" si="3"/>
        <v>0</v>
      </c>
      <c r="AC40" s="8">
        <f t="shared" si="3"/>
        <v>0.37071894079585388</v>
      </c>
      <c r="AD40" s="8">
        <f t="shared" si="3"/>
        <v>0.36230609419795301</v>
      </c>
      <c r="AE40" s="8">
        <f t="shared" si="3"/>
        <v>0.37674089641412561</v>
      </c>
      <c r="AF40" s="8">
        <f t="shared" si="3"/>
        <v>0.42433179541074184</v>
      </c>
      <c r="AG40" s="8">
        <f t="shared" si="3"/>
        <v>0.36908562680801649</v>
      </c>
      <c r="AH40" s="8">
        <f t="shared" si="3"/>
        <v>0.36352752250183218</v>
      </c>
      <c r="AI40" s="8">
        <f t="shared" si="3"/>
        <v>0.3726945338138074</v>
      </c>
      <c r="AJ40" s="8">
        <f t="shared" si="3"/>
        <v>0.29840517237866931</v>
      </c>
      <c r="AK40" s="8">
        <f t="shared" si="3"/>
        <v>0.37071894079585388</v>
      </c>
      <c r="AL40" s="8">
        <f t="shared" si="3"/>
        <v>0.2715328009189879</v>
      </c>
      <c r="AM40" s="8">
        <f t="shared" si="3"/>
        <v>0.351341531822769</v>
      </c>
      <c r="AN40" s="8">
        <f t="shared" si="3"/>
        <v>0.46523836442170619</v>
      </c>
      <c r="AO40" s="8">
        <f t="shared" si="3"/>
        <v>0.25090641021721566</v>
      </c>
      <c r="AP40" s="8">
        <f t="shared" si="3"/>
        <v>0.37071894079585388</v>
      </c>
      <c r="AQ40" s="8">
        <f t="shared" si="3"/>
        <v>0.51304415996458741</v>
      </c>
      <c r="AR40" s="8">
        <f t="shared" si="3"/>
        <v>0.36059179718024809</v>
      </c>
      <c r="AS40" s="8">
        <f t="shared" si="3"/>
        <v>0.33375598623108838</v>
      </c>
      <c r="AT40" s="8">
        <f t="shared" si="3"/>
        <v>0.40311972363215531</v>
      </c>
      <c r="AU40" s="8">
        <f t="shared" si="3"/>
        <v>0.37071894079585388</v>
      </c>
      <c r="AV40" s="8">
        <f t="shared" si="3"/>
        <v>0.47001001918350299</v>
      </c>
      <c r="AW40" s="8">
        <f t="shared" si="3"/>
        <v>0.31796828696456331</v>
      </c>
      <c r="AX40" s="8">
        <f t="shared" si="3"/>
        <v>0.34177291471091864</v>
      </c>
      <c r="AY40" s="8">
        <f t="shared" si="3"/>
        <v>0.35455710042417093</v>
      </c>
    </row>
  </sheetData>
  <mergeCells count="14">
    <mergeCell ref="A26:A32"/>
    <mergeCell ref="A33:A39"/>
    <mergeCell ref="AK1:AO1"/>
    <mergeCell ref="AP1:AT1"/>
    <mergeCell ref="AU1:AY1"/>
    <mergeCell ref="A3:A9"/>
    <mergeCell ref="A12:A17"/>
    <mergeCell ref="A19:A25"/>
    <mergeCell ref="A1:B2"/>
    <mergeCell ref="C1:E1"/>
    <mergeCell ref="F1:M1"/>
    <mergeCell ref="N1:V1"/>
    <mergeCell ref="W1:AB1"/>
    <mergeCell ref="AC1:AJ1"/>
  </mergeCells>
  <conditionalFormatting sqref="F10:AW1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:AW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:AW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0:AW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B7DC-8895-4D09-A420-2C504145C5D1}">
  <dimension ref="A1:J34"/>
  <sheetViews>
    <sheetView workbookViewId="0">
      <selection activeCell="A9" sqref="A1:A1048576"/>
    </sheetView>
  </sheetViews>
  <sheetFormatPr defaultRowHeight="14.5" x14ac:dyDescent="0.35"/>
  <cols>
    <col min="1" max="1" width="36.08984375" style="5" customWidth="1"/>
  </cols>
  <sheetData>
    <row r="1" spans="1:10" ht="15.5" x14ac:dyDescent="0.35">
      <c r="A1" s="91" t="s">
        <v>0</v>
      </c>
      <c r="B1" s="91"/>
      <c r="C1" s="93" t="s">
        <v>65</v>
      </c>
      <c r="D1" s="94"/>
      <c r="E1" s="94"/>
      <c r="F1" s="94"/>
      <c r="G1" s="94"/>
      <c r="H1" s="94"/>
      <c r="I1" s="95"/>
      <c r="J1" s="47"/>
    </row>
    <row r="2" spans="1:10" ht="15.5" x14ac:dyDescent="0.35">
      <c r="A2" s="92"/>
      <c r="B2" s="92"/>
      <c r="C2" s="48" t="s">
        <v>9</v>
      </c>
      <c r="D2" s="49" t="s">
        <v>60</v>
      </c>
      <c r="E2" s="49" t="s">
        <v>61</v>
      </c>
      <c r="F2" s="49" t="s">
        <v>66</v>
      </c>
      <c r="G2" s="49" t="s">
        <v>67</v>
      </c>
      <c r="H2" s="49" t="s">
        <v>64</v>
      </c>
      <c r="I2" s="50" t="s">
        <v>53</v>
      </c>
      <c r="J2" s="47"/>
    </row>
    <row r="3" spans="1:10" ht="15.5" customHeight="1" x14ac:dyDescent="0.35">
      <c r="A3" s="87" t="s">
        <v>54</v>
      </c>
      <c r="B3" s="51" t="s">
        <v>9</v>
      </c>
      <c r="C3" s="32">
        <v>1817.9999999999968</v>
      </c>
      <c r="D3" s="33">
        <v>694.52589277337859</v>
      </c>
      <c r="E3" s="33">
        <v>667.93821640120836</v>
      </c>
      <c r="F3" s="33">
        <v>273.77391327033001</v>
      </c>
      <c r="G3" s="33">
        <v>78.629275553488199</v>
      </c>
      <c r="H3" s="33">
        <v>12.938266940741915</v>
      </c>
      <c r="I3" s="34">
        <v>90.194435060856662</v>
      </c>
      <c r="J3" s="47"/>
    </row>
    <row r="4" spans="1:10" ht="15.5" x14ac:dyDescent="0.35">
      <c r="A4" s="88"/>
      <c r="B4" s="52" t="s">
        <v>55</v>
      </c>
      <c r="C4" s="35">
        <v>0.17018775926452839</v>
      </c>
      <c r="D4" s="36">
        <v>0.27598158116447769</v>
      </c>
      <c r="E4" s="36">
        <v>0.13440349719943012</v>
      </c>
      <c r="F4" s="36">
        <v>4.8094185096831076E-2</v>
      </c>
      <c r="G4" s="36">
        <v>0.11482260142410836</v>
      </c>
      <c r="H4" s="36">
        <v>7.8111221363357269E-2</v>
      </c>
      <c r="I4" s="37">
        <v>5.261727106835374E-2</v>
      </c>
      <c r="J4" s="47"/>
    </row>
    <row r="5" spans="1:10" ht="15.5" x14ac:dyDescent="0.35">
      <c r="A5" s="88"/>
      <c r="B5" s="52" t="s">
        <v>56</v>
      </c>
      <c r="C5" s="35">
        <v>0.4356200198652489</v>
      </c>
      <c r="D5" s="36">
        <v>0.48332518262555851</v>
      </c>
      <c r="E5" s="36">
        <v>0.50160755708471216</v>
      </c>
      <c r="F5" s="36">
        <v>0.27121412894205982</v>
      </c>
      <c r="G5" s="36">
        <v>0.19208914618131431</v>
      </c>
      <c r="H5" s="36">
        <v>0.45024743019374852</v>
      </c>
      <c r="I5" s="37">
        <v>0.28884132219703906</v>
      </c>
      <c r="J5" s="47"/>
    </row>
    <row r="6" spans="1:10" ht="15.5" x14ac:dyDescent="0.35">
      <c r="A6" s="88"/>
      <c r="B6" s="52" t="s">
        <v>57</v>
      </c>
      <c r="C6" s="35">
        <v>0.26607219533445609</v>
      </c>
      <c r="D6" s="36">
        <v>0.17279766860714887</v>
      </c>
      <c r="E6" s="36">
        <v>0.28004274075294439</v>
      </c>
      <c r="F6" s="36">
        <v>0.4468355357513864</v>
      </c>
      <c r="G6" s="36">
        <v>0.32271007305068528</v>
      </c>
      <c r="H6" s="36">
        <v>7.4488969746104458E-2</v>
      </c>
      <c r="I6" s="37">
        <v>0.31027875081854578</v>
      </c>
      <c r="J6" s="47"/>
    </row>
    <row r="7" spans="1:10" ht="15.5" x14ac:dyDescent="0.35">
      <c r="A7" s="88"/>
      <c r="B7" s="52" t="s">
        <v>58</v>
      </c>
      <c r="C7" s="35">
        <v>8.463824117692148E-2</v>
      </c>
      <c r="D7" s="36">
        <v>3.8516606127096266E-2</v>
      </c>
      <c r="E7" s="36">
        <v>6.1488530404921589E-2</v>
      </c>
      <c r="F7" s="36">
        <v>0.19318137578163211</v>
      </c>
      <c r="G7" s="36">
        <v>0.30655798616430963</v>
      </c>
      <c r="H7" s="36">
        <v>0.23766634870449471</v>
      </c>
      <c r="I7" s="37">
        <v>6.6340663063071126E-2</v>
      </c>
      <c r="J7" s="47"/>
    </row>
    <row r="8" spans="1:10" ht="15.5" x14ac:dyDescent="0.35">
      <c r="A8" s="89"/>
      <c r="B8" s="53" t="s">
        <v>53</v>
      </c>
      <c r="C8" s="38">
        <v>4.3481784358849584E-2</v>
      </c>
      <c r="D8" s="39">
        <v>2.9378961475716472E-2</v>
      </c>
      <c r="E8" s="39">
        <v>2.2457674557993385E-2</v>
      </c>
      <c r="F8" s="39">
        <v>4.0674774428092329E-2</v>
      </c>
      <c r="G8" s="39">
        <v>6.3820193179582735E-2</v>
      </c>
      <c r="H8" s="39">
        <v>0.159486029992295</v>
      </c>
      <c r="I8" s="40">
        <v>0.28192199285299002</v>
      </c>
      <c r="J8" s="47"/>
    </row>
    <row r="9" spans="1:10" ht="15.5" customHeight="1" x14ac:dyDescent="0.35">
      <c r="A9" s="89" t="s">
        <v>68</v>
      </c>
      <c r="B9" s="52" t="s">
        <v>9</v>
      </c>
      <c r="C9" s="41">
        <v>1817.9999999999968</v>
      </c>
      <c r="D9" s="42">
        <v>694.52589277337859</v>
      </c>
      <c r="E9" s="42">
        <v>667.93821640120836</v>
      </c>
      <c r="F9" s="42">
        <v>273.77391327033001</v>
      </c>
      <c r="G9" s="42">
        <v>78.629275553488199</v>
      </c>
      <c r="H9" s="42">
        <v>12.938266940741915</v>
      </c>
      <c r="I9" s="43">
        <v>90.194435060856662</v>
      </c>
      <c r="J9" s="47"/>
    </row>
    <row r="10" spans="1:10" ht="15.5" x14ac:dyDescent="0.35">
      <c r="A10" s="88"/>
      <c r="B10" s="52" t="s">
        <v>69</v>
      </c>
      <c r="C10" s="35">
        <v>0.14955183087974361</v>
      </c>
      <c r="D10" s="36">
        <v>0.12850692650418721</v>
      </c>
      <c r="E10" s="36">
        <v>0.12362544368690881</v>
      </c>
      <c r="F10" s="36">
        <v>0.24907074362405443</v>
      </c>
      <c r="G10" s="36">
        <v>0.37047798728288078</v>
      </c>
      <c r="H10" s="36">
        <v>0</v>
      </c>
      <c r="I10" s="37">
        <v>3.0380969845022171E-2</v>
      </c>
      <c r="J10" s="47"/>
    </row>
    <row r="11" spans="1:10" ht="15.5" x14ac:dyDescent="0.35">
      <c r="A11" s="88"/>
      <c r="B11" s="52" t="s">
        <v>70</v>
      </c>
      <c r="C11" s="35">
        <v>0.12749007935758544</v>
      </c>
      <c r="D11" s="36">
        <v>7.7086522869575291E-2</v>
      </c>
      <c r="E11" s="36">
        <v>0.17220276974285395</v>
      </c>
      <c r="F11" s="36">
        <v>0.18658585466622354</v>
      </c>
      <c r="G11" s="36">
        <v>9.3512559075712792E-2</v>
      </c>
      <c r="H11" s="36">
        <v>0.15131838288897206</v>
      </c>
      <c r="I11" s="37">
        <v>3.13168464663168E-2</v>
      </c>
      <c r="J11" s="47"/>
    </row>
    <row r="12" spans="1:10" ht="15.5" x14ac:dyDescent="0.35">
      <c r="A12" s="88"/>
      <c r="B12" s="52" t="s">
        <v>71</v>
      </c>
      <c r="C12" s="35">
        <v>9.3677030558524804E-2</v>
      </c>
      <c r="D12" s="36">
        <v>5.9111083008595279E-2</v>
      </c>
      <c r="E12" s="36">
        <v>0.11959119721263885</v>
      </c>
      <c r="F12" s="36">
        <v>0.13998932582618973</v>
      </c>
      <c r="G12" s="36">
        <v>8.9113863235237817E-2</v>
      </c>
      <c r="H12" s="36">
        <v>0</v>
      </c>
      <c r="I12" s="37">
        <v>4.4778248617679116E-2</v>
      </c>
      <c r="J12" s="47"/>
    </row>
    <row r="13" spans="1:10" ht="15.5" x14ac:dyDescent="0.35">
      <c r="A13" s="88"/>
      <c r="B13" s="52" t="s">
        <v>72</v>
      </c>
      <c r="C13" s="35">
        <v>0.14026948377110521</v>
      </c>
      <c r="D13" s="36">
        <v>0.11678301164332032</v>
      </c>
      <c r="E13" s="36">
        <v>0.18924301405523167</v>
      </c>
      <c r="F13" s="36">
        <v>0.1296809131055153</v>
      </c>
      <c r="G13" s="36">
        <v>9.0153859160232178E-2</v>
      </c>
      <c r="H13" s="36">
        <v>7.8111221363357269E-2</v>
      </c>
      <c r="I13" s="37">
        <v>4.3193876339557909E-2</v>
      </c>
      <c r="J13" s="47"/>
    </row>
    <row r="14" spans="1:10" ht="15.5" x14ac:dyDescent="0.35">
      <c r="A14" s="88"/>
      <c r="B14" s="52" t="s">
        <v>73</v>
      </c>
      <c r="C14" s="35">
        <v>0.38420320002549407</v>
      </c>
      <c r="D14" s="36">
        <v>0.56926953763847277</v>
      </c>
      <c r="E14" s="36">
        <v>0.27007362641968147</v>
      </c>
      <c r="F14" s="36">
        <v>0.1514746159573272</v>
      </c>
      <c r="G14" s="36">
        <v>0.19236839254769053</v>
      </c>
      <c r="H14" s="36">
        <v>0.53297314439201859</v>
      </c>
      <c r="I14" s="37">
        <v>0.65663865946947664</v>
      </c>
      <c r="J14" s="47"/>
    </row>
    <row r="15" spans="1:10" ht="15.5" x14ac:dyDescent="0.35">
      <c r="A15" s="90"/>
      <c r="B15" s="54" t="s">
        <v>74</v>
      </c>
      <c r="C15" s="44">
        <v>0.10480837540755041</v>
      </c>
      <c r="D15" s="45">
        <v>4.9242918335848422E-2</v>
      </c>
      <c r="E15" s="45">
        <v>0.12526394888268727</v>
      </c>
      <c r="F15" s="45">
        <v>0.14319854682069125</v>
      </c>
      <c r="G15" s="45">
        <v>0.16437333869824616</v>
      </c>
      <c r="H15" s="45">
        <v>0.23759725135565224</v>
      </c>
      <c r="I15" s="46">
        <v>0.19369139926194628</v>
      </c>
      <c r="J15" s="47"/>
    </row>
    <row r="19" spans="1:6" ht="15.5" x14ac:dyDescent="0.35">
      <c r="A19" s="91" t="s">
        <v>0</v>
      </c>
      <c r="B19" s="91"/>
      <c r="C19" s="93" t="s">
        <v>79</v>
      </c>
      <c r="D19" s="94"/>
      <c r="E19" s="95"/>
      <c r="F19" s="47"/>
    </row>
    <row r="20" spans="1:6" ht="15.5" x14ac:dyDescent="0.35">
      <c r="A20" s="92"/>
      <c r="B20" s="92"/>
      <c r="C20" s="48" t="s">
        <v>9</v>
      </c>
      <c r="D20" s="49" t="s">
        <v>16</v>
      </c>
      <c r="E20" s="50" t="s">
        <v>80</v>
      </c>
      <c r="F20" s="47"/>
    </row>
    <row r="21" spans="1:6" ht="15.5" customHeight="1" x14ac:dyDescent="0.35">
      <c r="A21" s="87" t="s">
        <v>65</v>
      </c>
      <c r="B21" s="51" t="s">
        <v>9</v>
      </c>
      <c r="C21" s="32">
        <v>1817.9999999999968</v>
      </c>
      <c r="D21" s="33">
        <v>408.58952803109776</v>
      </c>
      <c r="E21" s="34">
        <v>1409.4104719689101</v>
      </c>
      <c r="F21" s="47"/>
    </row>
    <row r="22" spans="1:6" ht="15.5" x14ac:dyDescent="0.35">
      <c r="A22" s="88"/>
      <c r="B22" s="52" t="s">
        <v>60</v>
      </c>
      <c r="C22" s="35">
        <v>0.38202744376973585</v>
      </c>
      <c r="D22" s="36">
        <v>0.71425804017379169</v>
      </c>
      <c r="E22" s="37">
        <v>0.28571345626785782</v>
      </c>
      <c r="F22" s="47"/>
    </row>
    <row r="23" spans="1:6" ht="15.5" x14ac:dyDescent="0.35">
      <c r="A23" s="88"/>
      <c r="B23" s="52" t="s">
        <v>61</v>
      </c>
      <c r="C23" s="35">
        <v>0.36740275929659488</v>
      </c>
      <c r="D23" s="36">
        <v>0.21331838928689981</v>
      </c>
      <c r="E23" s="37">
        <v>0.41207197473904694</v>
      </c>
      <c r="F23" s="47"/>
    </row>
    <row r="24" spans="1:6" ht="15.5" x14ac:dyDescent="0.35">
      <c r="A24" s="88"/>
      <c r="B24" s="52" t="s">
        <v>66</v>
      </c>
      <c r="C24" s="35">
        <v>0.15059071136981875</v>
      </c>
      <c r="D24" s="36">
        <v>3.0841651608782539E-2</v>
      </c>
      <c r="E24" s="37">
        <v>0.18530608548051081</v>
      </c>
      <c r="F24" s="47"/>
    </row>
    <row r="25" spans="1:6" ht="15.5" x14ac:dyDescent="0.35">
      <c r="A25" s="88"/>
      <c r="B25" s="52" t="s">
        <v>67</v>
      </c>
      <c r="C25" s="35">
        <v>4.3250426597078298E-2</v>
      </c>
      <c r="D25" s="36">
        <v>1.1793720942385439E-2</v>
      </c>
      <c r="E25" s="37">
        <v>5.2369757531882888E-2</v>
      </c>
      <c r="F25" s="47"/>
    </row>
    <row r="26" spans="1:6" ht="15.5" x14ac:dyDescent="0.35">
      <c r="A26" s="88"/>
      <c r="B26" s="52" t="s">
        <v>64</v>
      </c>
      <c r="C26" s="35">
        <v>7.1167584932573915E-3</v>
      </c>
      <c r="D26" s="36">
        <v>2.358744188477088E-3</v>
      </c>
      <c r="E26" s="37">
        <v>8.4961116751870649E-3</v>
      </c>
      <c r="F26" s="47"/>
    </row>
    <row r="27" spans="1:6" ht="15.5" x14ac:dyDescent="0.35">
      <c r="A27" s="89"/>
      <c r="B27" s="53" t="s">
        <v>53</v>
      </c>
      <c r="C27" s="38">
        <v>4.9611900473518607E-2</v>
      </c>
      <c r="D27" s="39">
        <v>2.7429453799659161E-2</v>
      </c>
      <c r="E27" s="40">
        <v>5.6042614305511898E-2</v>
      </c>
      <c r="F27" s="47"/>
    </row>
    <row r="28" spans="1:6" ht="15.5" customHeight="1" x14ac:dyDescent="0.35">
      <c r="A28" s="89" t="s">
        <v>68</v>
      </c>
      <c r="B28" s="52" t="s">
        <v>9</v>
      </c>
      <c r="C28" s="41">
        <v>1817.9999999999968</v>
      </c>
      <c r="D28" s="42">
        <v>408.58952803109776</v>
      </c>
      <c r="E28" s="43">
        <v>1409.4104719689101</v>
      </c>
      <c r="F28" s="47"/>
    </row>
    <row r="29" spans="1:6" ht="15.5" x14ac:dyDescent="0.35">
      <c r="A29" s="88"/>
      <c r="B29" s="52" t="s">
        <v>69</v>
      </c>
      <c r="C29" s="35">
        <v>0.14955183087974361</v>
      </c>
      <c r="D29" s="36">
        <v>0.15599428344460139</v>
      </c>
      <c r="E29" s="37">
        <v>0.14768415733453297</v>
      </c>
      <c r="F29" s="47"/>
    </row>
    <row r="30" spans="1:6" ht="15.5" x14ac:dyDescent="0.35">
      <c r="A30" s="88"/>
      <c r="B30" s="52" t="s">
        <v>70</v>
      </c>
      <c r="C30" s="35">
        <v>0.12749007935758544</v>
      </c>
      <c r="D30" s="36">
        <v>5.0984843171661381E-2</v>
      </c>
      <c r="E30" s="37">
        <v>0.14966902507057195</v>
      </c>
      <c r="F30" s="47"/>
    </row>
    <row r="31" spans="1:6" ht="15.5" x14ac:dyDescent="0.35">
      <c r="A31" s="88"/>
      <c r="B31" s="52" t="s">
        <v>71</v>
      </c>
      <c r="C31" s="35">
        <v>9.3677030558524804E-2</v>
      </c>
      <c r="D31" s="36">
        <v>5.2764160856371999E-2</v>
      </c>
      <c r="E31" s="37">
        <v>0.10553771305980271</v>
      </c>
      <c r="F31" s="47"/>
    </row>
    <row r="32" spans="1:6" ht="15.5" x14ac:dyDescent="0.35">
      <c r="A32" s="88"/>
      <c r="B32" s="52" t="s">
        <v>72</v>
      </c>
      <c r="C32" s="35">
        <v>0.14026948377110521</v>
      </c>
      <c r="D32" s="36">
        <v>8.164295276606183E-2</v>
      </c>
      <c r="E32" s="37">
        <v>0.15726537468426594</v>
      </c>
      <c r="F32" s="47"/>
    </row>
    <row r="33" spans="1:6" ht="15.5" x14ac:dyDescent="0.35">
      <c r="A33" s="88"/>
      <c r="B33" s="52" t="s">
        <v>73</v>
      </c>
      <c r="C33" s="35">
        <v>0.38420320002549407</v>
      </c>
      <c r="D33" s="36">
        <v>0.60763744184894986</v>
      </c>
      <c r="E33" s="37">
        <v>0.31942938627263878</v>
      </c>
      <c r="F33" s="47"/>
    </row>
    <row r="34" spans="1:6" ht="15.5" x14ac:dyDescent="0.35">
      <c r="A34" s="90"/>
      <c r="B34" s="54" t="s">
        <v>74</v>
      </c>
      <c r="C34" s="44">
        <v>0.10480837540755041</v>
      </c>
      <c r="D34" s="45">
        <v>5.0976317912348197E-2</v>
      </c>
      <c r="E34" s="46">
        <v>0.12041434357818549</v>
      </c>
      <c r="F34" s="47"/>
    </row>
  </sheetData>
  <mergeCells count="8">
    <mergeCell ref="A19:B20"/>
    <mergeCell ref="C19:E19"/>
    <mergeCell ref="A21:A27"/>
    <mergeCell ref="A28:A34"/>
    <mergeCell ref="A1:B2"/>
    <mergeCell ref="C1:I1"/>
    <mergeCell ref="A3:A8"/>
    <mergeCell ref="A9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6F9-70E3-4792-AD03-9D9F31205211}">
  <dimension ref="A1:R36"/>
  <sheetViews>
    <sheetView workbookViewId="0">
      <selection activeCell="M2" sqref="M2"/>
    </sheetView>
  </sheetViews>
  <sheetFormatPr defaultRowHeight="14.5" x14ac:dyDescent="0.35"/>
  <sheetData>
    <row r="1" spans="1:18" ht="15.5" x14ac:dyDescent="0.35">
      <c r="A1" s="99" t="s">
        <v>0</v>
      </c>
      <c r="B1" s="99"/>
      <c r="C1" s="101" t="s">
        <v>81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0"/>
    </row>
    <row r="2" spans="1:18" ht="15.5" x14ac:dyDescent="0.35">
      <c r="A2" s="100"/>
      <c r="B2" s="100"/>
      <c r="C2" s="71" t="s">
        <v>9</v>
      </c>
      <c r="D2" s="72" t="s">
        <v>82</v>
      </c>
      <c r="E2" s="72" t="s">
        <v>13</v>
      </c>
      <c r="F2" s="72" t="s">
        <v>83</v>
      </c>
      <c r="G2" s="72" t="s">
        <v>84</v>
      </c>
      <c r="H2" s="72" t="s">
        <v>15</v>
      </c>
      <c r="I2" s="72" t="s">
        <v>16</v>
      </c>
      <c r="J2" s="72" t="s">
        <v>85</v>
      </c>
      <c r="K2" s="72" t="s">
        <v>86</v>
      </c>
      <c r="L2" s="72" t="s">
        <v>87</v>
      </c>
      <c r="M2" s="72" t="s">
        <v>88</v>
      </c>
      <c r="N2" s="72" t="s">
        <v>89</v>
      </c>
      <c r="O2" s="72" t="s">
        <v>90</v>
      </c>
      <c r="P2" s="72" t="s">
        <v>91</v>
      </c>
      <c r="Q2" s="73" t="s">
        <v>92</v>
      </c>
      <c r="R2" s="70"/>
    </row>
    <row r="3" spans="1:18" ht="15.5" x14ac:dyDescent="0.35">
      <c r="A3" s="104" t="s">
        <v>47</v>
      </c>
      <c r="B3" s="74" t="s">
        <v>9</v>
      </c>
      <c r="C3" s="55">
        <v>1508.9999999999966</v>
      </c>
      <c r="D3" s="56">
        <v>217.10187032774749</v>
      </c>
      <c r="E3" s="56">
        <v>170.14022138797336</v>
      </c>
      <c r="F3" s="56">
        <v>44.034028117552531</v>
      </c>
      <c r="G3" s="56">
        <v>55.47214457185266</v>
      </c>
      <c r="H3" s="56">
        <v>600.02363563550159</v>
      </c>
      <c r="I3" s="56">
        <v>309.22625340176961</v>
      </c>
      <c r="J3" s="56">
        <v>36.147317963704303</v>
      </c>
      <c r="K3" s="56">
        <v>39.068982066278664</v>
      </c>
      <c r="L3" s="56">
        <v>6.3735704544229606</v>
      </c>
      <c r="M3" s="56">
        <v>19.369223930648271</v>
      </c>
      <c r="N3" s="56">
        <v>3.1750903830988602</v>
      </c>
      <c r="O3" s="56">
        <v>7.6584014205159843</v>
      </c>
      <c r="P3" s="56">
        <v>1.2092603389331031</v>
      </c>
      <c r="Q3" s="57">
        <v>0</v>
      </c>
      <c r="R3" s="70"/>
    </row>
    <row r="4" spans="1:18" ht="15.5" x14ac:dyDescent="0.35">
      <c r="A4" s="97"/>
      <c r="B4" s="75" t="s">
        <v>48</v>
      </c>
      <c r="C4" s="58">
        <v>0.59404180700639964</v>
      </c>
      <c r="D4" s="59">
        <v>0.62271630484324647</v>
      </c>
      <c r="E4" s="59">
        <v>0.59272348174320166</v>
      </c>
      <c r="F4" s="59">
        <v>0.4683926893233582</v>
      </c>
      <c r="G4" s="59">
        <v>0.54653577803754072</v>
      </c>
      <c r="H4" s="59">
        <v>0.59543147880766956</v>
      </c>
      <c r="I4" s="59">
        <v>0.60605812255479796</v>
      </c>
      <c r="J4" s="59">
        <v>0.57635145048134473</v>
      </c>
      <c r="K4" s="59">
        <v>0.59122171946048185</v>
      </c>
      <c r="L4" s="59">
        <v>0.37414617056126248</v>
      </c>
      <c r="M4" s="59">
        <v>0.53822076788404816</v>
      </c>
      <c r="N4" s="59">
        <v>0.65293935230280054</v>
      </c>
      <c r="O4" s="59">
        <v>0.61649665298481349</v>
      </c>
      <c r="P4" s="59">
        <v>1</v>
      </c>
      <c r="Q4" s="60">
        <v>0</v>
      </c>
      <c r="R4" s="70"/>
    </row>
    <row r="5" spans="1:18" ht="15.5" x14ac:dyDescent="0.35">
      <c r="A5" s="97"/>
      <c r="B5" s="75" t="s">
        <v>49</v>
      </c>
      <c r="C5" s="58">
        <v>0.2771748428104972</v>
      </c>
      <c r="D5" s="59">
        <v>0.24459302655493503</v>
      </c>
      <c r="E5" s="59">
        <v>0.29308023967460572</v>
      </c>
      <c r="F5" s="59">
        <v>0.39089170844423621</v>
      </c>
      <c r="G5" s="59">
        <v>0.30457690138439653</v>
      </c>
      <c r="H5" s="59">
        <v>0.26806069132314048</v>
      </c>
      <c r="I5" s="59">
        <v>0.28389234517374451</v>
      </c>
      <c r="J5" s="59">
        <v>0.21068523461835462</v>
      </c>
      <c r="K5" s="59">
        <v>0.30274135895179272</v>
      </c>
      <c r="L5" s="59">
        <v>0.49221105533796028</v>
      </c>
      <c r="M5" s="59">
        <v>0.30631552199235995</v>
      </c>
      <c r="N5" s="59">
        <v>0.34706064769719935</v>
      </c>
      <c r="O5" s="59">
        <v>0.38350334701518646</v>
      </c>
      <c r="P5" s="59">
        <v>0</v>
      </c>
      <c r="Q5" s="60">
        <v>0</v>
      </c>
      <c r="R5" s="70"/>
    </row>
    <row r="6" spans="1:18" ht="15.5" x14ac:dyDescent="0.35">
      <c r="A6" s="97"/>
      <c r="B6" s="75" t="s">
        <v>50</v>
      </c>
      <c r="C6" s="58">
        <v>6.2758589747834853E-2</v>
      </c>
      <c r="D6" s="59">
        <v>7.4675482619484826E-2</v>
      </c>
      <c r="E6" s="59">
        <v>6.1445069115706782E-2</v>
      </c>
      <c r="F6" s="59">
        <v>0.12150976197454355</v>
      </c>
      <c r="G6" s="59">
        <v>2.0152300098320933E-2</v>
      </c>
      <c r="H6" s="59">
        <v>6.1982993483246457E-2</v>
      </c>
      <c r="I6" s="59">
        <v>5.730420611854805E-2</v>
      </c>
      <c r="J6" s="59">
        <v>7.7127321170089747E-2</v>
      </c>
      <c r="K6" s="59">
        <v>7.7218245399321359E-2</v>
      </c>
      <c r="L6" s="59">
        <v>0.13364277410077738</v>
      </c>
      <c r="M6" s="59">
        <v>0</v>
      </c>
      <c r="N6" s="59">
        <v>0</v>
      </c>
      <c r="O6" s="59">
        <v>0</v>
      </c>
      <c r="P6" s="59">
        <v>0</v>
      </c>
      <c r="Q6" s="60">
        <v>0</v>
      </c>
      <c r="R6" s="70"/>
    </row>
    <row r="7" spans="1:18" ht="15.5" x14ac:dyDescent="0.35">
      <c r="A7" s="97"/>
      <c r="B7" s="75" t="s">
        <v>51</v>
      </c>
      <c r="C7" s="58">
        <v>3.9897723499259893E-2</v>
      </c>
      <c r="D7" s="59">
        <v>2.8342626193491864E-2</v>
      </c>
      <c r="E7" s="59">
        <v>3.4383664112380703E-2</v>
      </c>
      <c r="F7" s="59">
        <v>1.9205840257861824E-2</v>
      </c>
      <c r="G7" s="59">
        <v>8.9395090012175688E-2</v>
      </c>
      <c r="H7" s="59">
        <v>4.5965791303994558E-2</v>
      </c>
      <c r="I7" s="59">
        <v>2.9066043882889924E-2</v>
      </c>
      <c r="J7" s="59">
        <v>7.7958177605700771E-2</v>
      </c>
      <c r="K7" s="59">
        <v>2.8818676188403822E-2</v>
      </c>
      <c r="L7" s="59">
        <v>0</v>
      </c>
      <c r="M7" s="59">
        <v>9.7334569420278599E-2</v>
      </c>
      <c r="N7" s="59">
        <v>0</v>
      </c>
      <c r="O7" s="59">
        <v>0</v>
      </c>
      <c r="P7" s="59">
        <v>0</v>
      </c>
      <c r="Q7" s="60">
        <v>0</v>
      </c>
      <c r="R7" s="70"/>
    </row>
    <row r="8" spans="1:18" ht="15.5" x14ac:dyDescent="0.35">
      <c r="A8" s="97"/>
      <c r="B8" s="75" t="s">
        <v>52</v>
      </c>
      <c r="C8" s="58">
        <v>1.5754640174562289E-2</v>
      </c>
      <c r="D8" s="59">
        <v>2.0257577841214066E-2</v>
      </c>
      <c r="E8" s="59">
        <v>1.2245030236069375E-2</v>
      </c>
      <c r="F8" s="59">
        <v>0</v>
      </c>
      <c r="G8" s="59">
        <v>3.9339930467565294E-2</v>
      </c>
      <c r="H8" s="59">
        <v>1.4346235685483173E-2</v>
      </c>
      <c r="I8" s="59">
        <v>1.7774875896793906E-2</v>
      </c>
      <c r="J8" s="59">
        <v>2.7819844040479144E-2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60">
        <v>0</v>
      </c>
      <c r="R8" s="70"/>
    </row>
    <row r="9" spans="1:18" ht="15.5" x14ac:dyDescent="0.35">
      <c r="A9" s="96"/>
      <c r="B9" s="76" t="s">
        <v>53</v>
      </c>
      <c r="C9" s="61">
        <v>1.0372396761447964E-2</v>
      </c>
      <c r="D9" s="62">
        <v>9.4149819476282842E-3</v>
      </c>
      <c r="E9" s="62">
        <v>6.1225151180346873E-3</v>
      </c>
      <c r="F9" s="62">
        <v>0</v>
      </c>
      <c r="G9" s="62">
        <v>0</v>
      </c>
      <c r="H9" s="62">
        <v>1.4212809396463744E-2</v>
      </c>
      <c r="I9" s="62">
        <v>5.9044063732265461E-3</v>
      </c>
      <c r="J9" s="62">
        <v>3.0057972084031076E-2</v>
      </c>
      <c r="K9" s="62">
        <v>0</v>
      </c>
      <c r="L9" s="62">
        <v>0</v>
      </c>
      <c r="M9" s="62">
        <v>5.8129140703313535E-2</v>
      </c>
      <c r="N9" s="62">
        <v>0</v>
      </c>
      <c r="O9" s="62">
        <v>0</v>
      </c>
      <c r="P9" s="62">
        <v>0</v>
      </c>
      <c r="Q9" s="63">
        <v>0</v>
      </c>
      <c r="R9" s="70"/>
    </row>
    <row r="10" spans="1:18" ht="15.5" x14ac:dyDescent="0.35">
      <c r="A10" s="96" t="s">
        <v>54</v>
      </c>
      <c r="B10" s="75" t="s">
        <v>9</v>
      </c>
      <c r="C10" s="64">
        <v>1508.9999999999966</v>
      </c>
      <c r="D10" s="65">
        <v>217.10187032774749</v>
      </c>
      <c r="E10" s="65">
        <v>170.14022138797336</v>
      </c>
      <c r="F10" s="65">
        <v>44.034028117552531</v>
      </c>
      <c r="G10" s="65">
        <v>55.47214457185266</v>
      </c>
      <c r="H10" s="65">
        <v>600.02363563550159</v>
      </c>
      <c r="I10" s="65">
        <v>309.22625340176961</v>
      </c>
      <c r="J10" s="65">
        <v>36.147317963704303</v>
      </c>
      <c r="K10" s="65">
        <v>39.068982066278664</v>
      </c>
      <c r="L10" s="65">
        <v>6.3735704544229606</v>
      </c>
      <c r="M10" s="65">
        <v>19.369223930648271</v>
      </c>
      <c r="N10" s="65">
        <v>3.1750903830988602</v>
      </c>
      <c r="O10" s="65">
        <v>7.6584014205159843</v>
      </c>
      <c r="P10" s="65">
        <v>1.2092603389331031</v>
      </c>
      <c r="Q10" s="66">
        <v>0</v>
      </c>
      <c r="R10" s="70"/>
    </row>
    <row r="11" spans="1:18" ht="15.5" x14ac:dyDescent="0.35">
      <c r="A11" s="97"/>
      <c r="B11" s="75" t="s">
        <v>55</v>
      </c>
      <c r="C11" s="58">
        <v>9.4889234162117239E-2</v>
      </c>
      <c r="D11" s="59">
        <v>5.5327887808792074E-2</v>
      </c>
      <c r="E11" s="59">
        <v>0.10146634052286446</v>
      </c>
      <c r="F11" s="59">
        <v>6.9979814490930603E-2</v>
      </c>
      <c r="G11" s="59">
        <v>3.7446110431249485E-2</v>
      </c>
      <c r="H11" s="59">
        <v>0.10610083506339278</v>
      </c>
      <c r="I11" s="59">
        <v>0.11262665268690329</v>
      </c>
      <c r="J11" s="59">
        <v>7.957902252424047E-2</v>
      </c>
      <c r="K11" s="59">
        <v>0.11665717625107591</v>
      </c>
      <c r="L11" s="59">
        <v>0</v>
      </c>
      <c r="M11" s="59">
        <v>0.14608120729159305</v>
      </c>
      <c r="N11" s="59">
        <v>0</v>
      </c>
      <c r="O11" s="59">
        <v>0</v>
      </c>
      <c r="P11" s="59">
        <v>0</v>
      </c>
      <c r="Q11" s="60">
        <v>0</v>
      </c>
      <c r="R11" s="70"/>
    </row>
    <row r="12" spans="1:18" ht="15.5" x14ac:dyDescent="0.35">
      <c r="A12" s="97"/>
      <c r="B12" s="75" t="s">
        <v>56</v>
      </c>
      <c r="C12" s="58">
        <v>0.35548816409173567</v>
      </c>
      <c r="D12" s="59">
        <v>0.30181997187596121</v>
      </c>
      <c r="E12" s="59">
        <v>0.36154640327190918</v>
      </c>
      <c r="F12" s="59">
        <v>0.40519477858051728</v>
      </c>
      <c r="G12" s="59">
        <v>0.45131051263704669</v>
      </c>
      <c r="H12" s="59">
        <v>0.30408103860529012</v>
      </c>
      <c r="I12" s="59">
        <v>0.44683086926656512</v>
      </c>
      <c r="J12" s="59">
        <v>0.34703776347876442</v>
      </c>
      <c r="K12" s="59">
        <v>0.46973179561393685</v>
      </c>
      <c r="L12" s="59">
        <v>0.3448516421229762</v>
      </c>
      <c r="M12" s="59">
        <v>0.45194751931300559</v>
      </c>
      <c r="N12" s="59">
        <v>0.34706064769719935</v>
      </c>
      <c r="O12" s="59">
        <v>0.38350334701518646</v>
      </c>
      <c r="P12" s="59">
        <v>0</v>
      </c>
      <c r="Q12" s="60">
        <v>0</v>
      </c>
      <c r="R12" s="70"/>
    </row>
    <row r="13" spans="1:18" ht="15.5" x14ac:dyDescent="0.35">
      <c r="A13" s="97"/>
      <c r="B13" s="75" t="s">
        <v>57</v>
      </c>
      <c r="C13" s="58">
        <v>0.31706918137706158</v>
      </c>
      <c r="D13" s="59">
        <v>0.33917690638423309</v>
      </c>
      <c r="E13" s="59">
        <v>0.34958902863931374</v>
      </c>
      <c r="F13" s="59">
        <v>0.31284461982255701</v>
      </c>
      <c r="G13" s="59">
        <v>0.31838962795260423</v>
      </c>
      <c r="H13" s="59">
        <v>0.33357488599075785</v>
      </c>
      <c r="I13" s="59">
        <v>0.24863252353679041</v>
      </c>
      <c r="J13" s="59">
        <v>0.37174781844424359</v>
      </c>
      <c r="K13" s="59">
        <v>0.29465546579192969</v>
      </c>
      <c r="L13" s="59">
        <v>0.17665394165327025</v>
      </c>
      <c r="M13" s="59">
        <v>0.25102111353615203</v>
      </c>
      <c r="N13" s="59">
        <v>0.27208079615899861</v>
      </c>
      <c r="O13" s="59">
        <v>0.50369489817001922</v>
      </c>
      <c r="P13" s="59">
        <v>1</v>
      </c>
      <c r="Q13" s="60">
        <v>0</v>
      </c>
      <c r="R13" s="70"/>
    </row>
    <row r="14" spans="1:18" ht="15.5" x14ac:dyDescent="0.35">
      <c r="A14" s="97"/>
      <c r="B14" s="75" t="s">
        <v>58</v>
      </c>
      <c r="C14" s="58">
        <v>8.805311482951407E-2</v>
      </c>
      <c r="D14" s="59">
        <v>0.11139804493645096</v>
      </c>
      <c r="E14" s="59">
        <v>7.1981367310216759E-2</v>
      </c>
      <c r="F14" s="59">
        <v>0.18748221369118023</v>
      </c>
      <c r="G14" s="59">
        <v>3.0491358012685713E-2</v>
      </c>
      <c r="H14" s="59">
        <v>0.11757062138703063</v>
      </c>
      <c r="I14" s="59">
        <v>3.4604683769848904E-2</v>
      </c>
      <c r="J14" s="59">
        <v>9.3790076762010274E-2</v>
      </c>
      <c r="K14" s="59">
        <v>2.1801992051157869E-2</v>
      </c>
      <c r="L14" s="59">
        <v>0.15777855684234501</v>
      </c>
      <c r="M14" s="59">
        <v>0</v>
      </c>
      <c r="N14" s="59">
        <v>0</v>
      </c>
      <c r="O14" s="59">
        <v>0</v>
      </c>
      <c r="P14" s="59">
        <v>0</v>
      </c>
      <c r="Q14" s="60">
        <v>0</v>
      </c>
      <c r="R14" s="70"/>
    </row>
    <row r="15" spans="1:18" ht="15.5" x14ac:dyDescent="0.35">
      <c r="A15" s="96"/>
      <c r="B15" s="76" t="s">
        <v>53</v>
      </c>
      <c r="C15" s="61">
        <v>0.14450030553957277</v>
      </c>
      <c r="D15" s="62">
        <v>0.19227718899456384</v>
      </c>
      <c r="E15" s="62">
        <v>0.11541686025569517</v>
      </c>
      <c r="F15" s="62">
        <v>2.4498573414814741E-2</v>
      </c>
      <c r="G15" s="62">
        <v>0.16236239096641303</v>
      </c>
      <c r="H15" s="62">
        <v>0.1386726189535247</v>
      </c>
      <c r="I15" s="62">
        <v>0.15730527073989342</v>
      </c>
      <c r="J15" s="62">
        <v>0.10784531879074134</v>
      </c>
      <c r="K15" s="62">
        <v>9.7153570291899277E-2</v>
      </c>
      <c r="L15" s="62">
        <v>0.32071585938140856</v>
      </c>
      <c r="M15" s="62">
        <v>0.15095015985924948</v>
      </c>
      <c r="N15" s="62">
        <v>0.3808585561438021</v>
      </c>
      <c r="O15" s="62">
        <v>0.11280175481479446</v>
      </c>
      <c r="P15" s="62">
        <v>0</v>
      </c>
      <c r="Q15" s="63">
        <v>0</v>
      </c>
      <c r="R15" s="70"/>
    </row>
    <row r="16" spans="1:18" ht="15.5" x14ac:dyDescent="0.35">
      <c r="A16" s="96" t="s">
        <v>59</v>
      </c>
      <c r="B16" s="75" t="s">
        <v>9</v>
      </c>
      <c r="C16" s="64">
        <v>1508.9999999999966</v>
      </c>
      <c r="D16" s="65">
        <v>217.10187032774749</v>
      </c>
      <c r="E16" s="65">
        <v>170.14022138797336</v>
      </c>
      <c r="F16" s="65">
        <v>44.034028117552531</v>
      </c>
      <c r="G16" s="65">
        <v>55.47214457185266</v>
      </c>
      <c r="H16" s="65">
        <v>600.02363563550159</v>
      </c>
      <c r="I16" s="65">
        <v>309.22625340176961</v>
      </c>
      <c r="J16" s="65">
        <v>36.147317963704303</v>
      </c>
      <c r="K16" s="65">
        <v>39.068982066278664</v>
      </c>
      <c r="L16" s="65">
        <v>6.3735704544229606</v>
      </c>
      <c r="M16" s="65">
        <v>19.369223930648271</v>
      </c>
      <c r="N16" s="65">
        <v>3.1750903830988602</v>
      </c>
      <c r="O16" s="65">
        <v>7.6584014205159843</v>
      </c>
      <c r="P16" s="65">
        <v>1.2092603389331031</v>
      </c>
      <c r="Q16" s="66">
        <v>0</v>
      </c>
      <c r="R16" s="70"/>
    </row>
    <row r="17" spans="1:18" ht="15.5" x14ac:dyDescent="0.35">
      <c r="A17" s="97"/>
      <c r="B17" s="75" t="s">
        <v>60</v>
      </c>
      <c r="C17" s="58">
        <v>0.40266130764558949</v>
      </c>
      <c r="D17" s="59">
        <v>0.37594889757903721</v>
      </c>
      <c r="E17" s="59">
        <v>0.32953416968433485</v>
      </c>
      <c r="F17" s="59">
        <v>0.34075240212222158</v>
      </c>
      <c r="G17" s="59">
        <v>0.35907688266040466</v>
      </c>
      <c r="H17" s="59">
        <v>0.39363109090407505</v>
      </c>
      <c r="I17" s="59">
        <v>0.51815212565529634</v>
      </c>
      <c r="J17" s="59">
        <v>0.23482812239249745</v>
      </c>
      <c r="K17" s="59">
        <v>0.30308947067097597</v>
      </c>
      <c r="L17" s="59">
        <v>0.37414617056126248</v>
      </c>
      <c r="M17" s="59">
        <v>0.45811239126854358</v>
      </c>
      <c r="N17" s="59">
        <v>0.72791920384100139</v>
      </c>
      <c r="O17" s="59">
        <v>0.45490191742919689</v>
      </c>
      <c r="P17" s="59">
        <v>1</v>
      </c>
      <c r="Q17" s="60">
        <v>0</v>
      </c>
      <c r="R17" s="70"/>
    </row>
    <row r="18" spans="1:18" ht="15.5" x14ac:dyDescent="0.35">
      <c r="A18" s="97"/>
      <c r="B18" s="75" t="s">
        <v>61</v>
      </c>
      <c r="C18" s="58">
        <v>0.47032590193192575</v>
      </c>
      <c r="D18" s="59">
        <v>0.46424546297084363</v>
      </c>
      <c r="E18" s="59">
        <v>0.52978247776082643</v>
      </c>
      <c r="F18" s="59">
        <v>0.53895308467703695</v>
      </c>
      <c r="G18" s="59">
        <v>0.53175189839177817</v>
      </c>
      <c r="H18" s="59">
        <v>0.47281868795579007</v>
      </c>
      <c r="I18" s="59">
        <v>0.38122866131696403</v>
      </c>
      <c r="J18" s="59">
        <v>0.67207081707867489</v>
      </c>
      <c r="K18" s="59">
        <v>0.58917386686064066</v>
      </c>
      <c r="L18" s="59">
        <v>0.49221105533796028</v>
      </c>
      <c r="M18" s="59">
        <v>0.43834196986526075</v>
      </c>
      <c r="N18" s="59">
        <v>0.27208079615899861</v>
      </c>
      <c r="O18" s="59">
        <v>0.54509808257080317</v>
      </c>
      <c r="P18" s="59">
        <v>0</v>
      </c>
      <c r="Q18" s="60">
        <v>0</v>
      </c>
      <c r="R18" s="70"/>
    </row>
    <row r="19" spans="1:18" ht="15.5" x14ac:dyDescent="0.35">
      <c r="A19" s="97"/>
      <c r="B19" s="75" t="s">
        <v>62</v>
      </c>
      <c r="C19" s="58">
        <v>8.7315139754866419E-2</v>
      </c>
      <c r="D19" s="59">
        <v>9.9372299646807341E-2</v>
      </c>
      <c r="E19" s="59">
        <v>0.11675981722505278</v>
      </c>
      <c r="F19" s="59">
        <v>9.4907526084207008E-2</v>
      </c>
      <c r="G19" s="59">
        <v>8.7830325449421626E-2</v>
      </c>
      <c r="H19" s="59">
        <v>0.10064296552522328</v>
      </c>
      <c r="I19" s="59">
        <v>4.6413380633629965E-2</v>
      </c>
      <c r="J19" s="59">
        <v>3.2985116360765565E-2</v>
      </c>
      <c r="K19" s="59">
        <v>0.10773666246838291</v>
      </c>
      <c r="L19" s="59">
        <v>0</v>
      </c>
      <c r="M19" s="59">
        <v>5.8129140703313535E-2</v>
      </c>
      <c r="N19" s="59">
        <v>0</v>
      </c>
      <c r="O19" s="59">
        <v>0</v>
      </c>
      <c r="P19" s="59">
        <v>0</v>
      </c>
      <c r="Q19" s="60">
        <v>0</v>
      </c>
      <c r="R19" s="70"/>
    </row>
    <row r="20" spans="1:18" ht="15.5" x14ac:dyDescent="0.35">
      <c r="A20" s="97"/>
      <c r="B20" s="75" t="s">
        <v>63</v>
      </c>
      <c r="C20" s="58">
        <v>1.0745005794792201E-2</v>
      </c>
      <c r="D20" s="59">
        <v>2.7032927759034632E-2</v>
      </c>
      <c r="E20" s="59">
        <v>0</v>
      </c>
      <c r="F20" s="59">
        <v>0</v>
      </c>
      <c r="G20" s="59">
        <v>0</v>
      </c>
      <c r="H20" s="59">
        <v>1.2476781640111028E-2</v>
      </c>
      <c r="I20" s="59">
        <v>9.2454979331132031E-3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60">
        <v>0</v>
      </c>
      <c r="R20" s="70"/>
    </row>
    <row r="21" spans="1:18" ht="15.5" x14ac:dyDescent="0.35">
      <c r="A21" s="97"/>
      <c r="B21" s="75" t="s">
        <v>64</v>
      </c>
      <c r="C21" s="58">
        <v>9.0165508840257466E-3</v>
      </c>
      <c r="D21" s="59">
        <v>1.3990547835219733E-2</v>
      </c>
      <c r="E21" s="59">
        <v>1.8567727806969411E-2</v>
      </c>
      <c r="F21" s="59">
        <v>0</v>
      </c>
      <c r="G21" s="59">
        <v>0</v>
      </c>
      <c r="H21" s="59">
        <v>7.1086360379773519E-3</v>
      </c>
      <c r="I21" s="59">
        <v>7.322961341150399E-3</v>
      </c>
      <c r="J21" s="59">
        <v>0</v>
      </c>
      <c r="K21" s="59">
        <v>0</v>
      </c>
      <c r="L21" s="59">
        <v>0</v>
      </c>
      <c r="M21" s="59">
        <v>4.5416498162882242E-2</v>
      </c>
      <c r="N21" s="59">
        <v>0</v>
      </c>
      <c r="O21" s="59">
        <v>0</v>
      </c>
      <c r="P21" s="59">
        <v>0</v>
      </c>
      <c r="Q21" s="60">
        <v>0</v>
      </c>
      <c r="R21" s="70"/>
    </row>
    <row r="22" spans="1:18" ht="15.5" x14ac:dyDescent="0.35">
      <c r="A22" s="96"/>
      <c r="B22" s="76" t="s">
        <v>53</v>
      </c>
      <c r="C22" s="61">
        <v>1.9936093988801248E-2</v>
      </c>
      <c r="D22" s="62">
        <v>1.9409864209058842E-2</v>
      </c>
      <c r="E22" s="62">
        <v>5.3558075228156247E-3</v>
      </c>
      <c r="F22" s="62">
        <v>2.5386987116534393E-2</v>
      </c>
      <c r="G22" s="62">
        <v>2.1340893498394652E-2</v>
      </c>
      <c r="H22" s="62">
        <v>1.332183793681864E-2</v>
      </c>
      <c r="I22" s="62">
        <v>3.7637373119846773E-2</v>
      </c>
      <c r="J22" s="62">
        <v>6.0115944168062152E-2</v>
      </c>
      <c r="K22" s="62">
        <v>0</v>
      </c>
      <c r="L22" s="62">
        <v>0.13364277410077738</v>
      </c>
      <c r="M22" s="62">
        <v>0</v>
      </c>
      <c r="N22" s="62">
        <v>0</v>
      </c>
      <c r="O22" s="62">
        <v>0</v>
      </c>
      <c r="P22" s="62">
        <v>0</v>
      </c>
      <c r="Q22" s="63">
        <v>0</v>
      </c>
      <c r="R22" s="70"/>
    </row>
    <row r="23" spans="1:18" ht="15.5" x14ac:dyDescent="0.35">
      <c r="A23" s="96" t="s">
        <v>65</v>
      </c>
      <c r="B23" s="75" t="s">
        <v>9</v>
      </c>
      <c r="C23" s="64">
        <v>289.15452537814735</v>
      </c>
      <c r="D23" s="65">
        <v>30.212102662412004</v>
      </c>
      <c r="E23" s="65">
        <v>37.959709003017657</v>
      </c>
      <c r="F23" s="65">
        <v>6.1835155314439714</v>
      </c>
      <c r="G23" s="65">
        <v>7.8472347285856516</v>
      </c>
      <c r="H23" s="65">
        <v>123.72177173838026</v>
      </c>
      <c r="I23" s="65">
        <v>57.464039865887585</v>
      </c>
      <c r="J23" s="65">
        <v>8.8969497516013725</v>
      </c>
      <c r="K23" s="65">
        <v>7.9319240435248535</v>
      </c>
      <c r="L23" s="65">
        <v>1.192323489162378</v>
      </c>
      <c r="M23" s="65">
        <v>5.9888953121172444</v>
      </c>
      <c r="N23" s="65">
        <v>0</v>
      </c>
      <c r="O23" s="65">
        <v>1.7560592520145715</v>
      </c>
      <c r="P23" s="65">
        <v>0</v>
      </c>
      <c r="Q23" s="66">
        <v>0</v>
      </c>
      <c r="R23" s="70"/>
    </row>
    <row r="24" spans="1:18" ht="15.5" x14ac:dyDescent="0.35">
      <c r="A24" s="97"/>
      <c r="B24" s="75" t="s">
        <v>60</v>
      </c>
      <c r="C24" s="58">
        <v>0.33652778427817537</v>
      </c>
      <c r="D24" s="59">
        <v>0.27178277776089649</v>
      </c>
      <c r="E24" s="59">
        <v>0.27702134590246097</v>
      </c>
      <c r="F24" s="59">
        <v>0.28249701265392979</v>
      </c>
      <c r="G24" s="59">
        <v>0.34277886335949875</v>
      </c>
      <c r="H24" s="59">
        <v>0.27044934391106074</v>
      </c>
      <c r="I24" s="59">
        <v>0.58214439892061087</v>
      </c>
      <c r="J24" s="59">
        <v>0.26802972309645118</v>
      </c>
      <c r="K24" s="59">
        <v>0.21477301895022058</v>
      </c>
      <c r="L24" s="59">
        <v>0</v>
      </c>
      <c r="M24" s="59">
        <v>0.37600134398762686</v>
      </c>
      <c r="N24" s="59">
        <v>0</v>
      </c>
      <c r="O24" s="59">
        <v>0.50805696429703995</v>
      </c>
      <c r="P24" s="59">
        <v>0</v>
      </c>
      <c r="Q24" s="60">
        <v>0</v>
      </c>
      <c r="R24" s="70"/>
    </row>
    <row r="25" spans="1:18" ht="15.5" x14ac:dyDescent="0.35">
      <c r="A25" s="97"/>
      <c r="B25" s="75" t="s">
        <v>61</v>
      </c>
      <c r="C25" s="58">
        <v>0.42043979587234431</v>
      </c>
      <c r="D25" s="59">
        <v>0.53492449687474408</v>
      </c>
      <c r="E25" s="59">
        <v>0.44928721976807162</v>
      </c>
      <c r="F25" s="59">
        <v>0.58073442816070664</v>
      </c>
      <c r="G25" s="59">
        <v>0.22260385036894881</v>
      </c>
      <c r="H25" s="59">
        <v>0.4387435054804788</v>
      </c>
      <c r="I25" s="59">
        <v>0.29924483803654406</v>
      </c>
      <c r="J25" s="59">
        <v>0.63623166308227563</v>
      </c>
      <c r="K25" s="59">
        <v>0.41408002568318708</v>
      </c>
      <c r="L25" s="59">
        <v>0</v>
      </c>
      <c r="M25" s="59">
        <v>0.28911241043324515</v>
      </c>
      <c r="N25" s="59">
        <v>0</v>
      </c>
      <c r="O25" s="59">
        <v>0.49194303570296005</v>
      </c>
      <c r="P25" s="59">
        <v>0</v>
      </c>
      <c r="Q25" s="60">
        <v>0</v>
      </c>
      <c r="R25" s="70"/>
    </row>
    <row r="26" spans="1:18" ht="15.5" x14ac:dyDescent="0.35">
      <c r="A26" s="97"/>
      <c r="B26" s="75" t="s">
        <v>66</v>
      </c>
      <c r="C26" s="58">
        <v>0.14750970122634766</v>
      </c>
      <c r="D26" s="59">
        <v>0.16287492518509289</v>
      </c>
      <c r="E26" s="59">
        <v>0.10274104141392984</v>
      </c>
      <c r="F26" s="59">
        <v>0</v>
      </c>
      <c r="G26" s="59">
        <v>0.10777178702902605</v>
      </c>
      <c r="H26" s="59">
        <v>0.19221865158671314</v>
      </c>
      <c r="I26" s="59">
        <v>7.8138716472081982E-2</v>
      </c>
      <c r="J26" s="59">
        <v>9.5738613821273258E-2</v>
      </c>
      <c r="K26" s="59">
        <v>0.23416694039121136</v>
      </c>
      <c r="L26" s="59">
        <v>0</v>
      </c>
      <c r="M26" s="59">
        <v>0.33488624557912788</v>
      </c>
      <c r="N26" s="59">
        <v>0</v>
      </c>
      <c r="O26" s="59">
        <v>0</v>
      </c>
      <c r="P26" s="59">
        <v>0</v>
      </c>
      <c r="Q26" s="60">
        <v>0</v>
      </c>
      <c r="R26" s="70"/>
    </row>
    <row r="27" spans="1:18" ht="15.5" x14ac:dyDescent="0.35">
      <c r="A27" s="97"/>
      <c r="B27" s="75" t="s">
        <v>67</v>
      </c>
      <c r="C27" s="58">
        <v>2.9244634237731763E-2</v>
      </c>
      <c r="D27" s="59">
        <v>0</v>
      </c>
      <c r="E27" s="59">
        <v>0</v>
      </c>
      <c r="F27" s="59">
        <v>0.1367685591853636</v>
      </c>
      <c r="G27" s="59">
        <v>0.10777178702902605</v>
      </c>
      <c r="H27" s="59">
        <v>4.5895578110040303E-2</v>
      </c>
      <c r="I27" s="59">
        <v>0</v>
      </c>
      <c r="J27" s="59">
        <v>0</v>
      </c>
      <c r="K27" s="59">
        <v>0.13698001497538098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60">
        <v>0</v>
      </c>
      <c r="R27" s="70"/>
    </row>
    <row r="28" spans="1:18" ht="15.5" x14ac:dyDescent="0.35">
      <c r="A28" s="97"/>
      <c r="B28" s="75" t="s">
        <v>64</v>
      </c>
      <c r="C28" s="58">
        <v>9.1191959208998391E-3</v>
      </c>
      <c r="D28" s="59">
        <v>0</v>
      </c>
      <c r="E28" s="59">
        <v>0</v>
      </c>
      <c r="F28" s="59">
        <v>0</v>
      </c>
      <c r="G28" s="59">
        <v>0</v>
      </c>
      <c r="H28" s="59">
        <v>2.1312795082776361E-2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60">
        <v>0</v>
      </c>
      <c r="R28" s="70"/>
    </row>
    <row r="29" spans="1:18" ht="15.5" x14ac:dyDescent="0.35">
      <c r="A29" s="96"/>
      <c r="B29" s="76" t="s">
        <v>53</v>
      </c>
      <c r="C29" s="61">
        <v>5.715888846450129E-2</v>
      </c>
      <c r="D29" s="62">
        <v>3.0417800179266461E-2</v>
      </c>
      <c r="E29" s="62">
        <v>0.17095039291553729</v>
      </c>
      <c r="F29" s="62">
        <v>0</v>
      </c>
      <c r="G29" s="62">
        <v>0.21907371221350047</v>
      </c>
      <c r="H29" s="62">
        <v>3.1380125828930468E-2</v>
      </c>
      <c r="I29" s="62">
        <v>4.047204657076249E-2</v>
      </c>
      <c r="J29" s="62">
        <v>0</v>
      </c>
      <c r="K29" s="62">
        <v>0</v>
      </c>
      <c r="L29" s="62">
        <v>1</v>
      </c>
      <c r="M29" s="62">
        <v>0</v>
      </c>
      <c r="N29" s="62">
        <v>0</v>
      </c>
      <c r="O29" s="62">
        <v>0</v>
      </c>
      <c r="P29" s="62">
        <v>0</v>
      </c>
      <c r="Q29" s="63">
        <v>0</v>
      </c>
      <c r="R29" s="70"/>
    </row>
    <row r="30" spans="1:18" ht="15.5" x14ac:dyDescent="0.35">
      <c r="A30" s="96" t="s">
        <v>68</v>
      </c>
      <c r="B30" s="75" t="s">
        <v>9</v>
      </c>
      <c r="C30" s="64">
        <v>289.15452537814735</v>
      </c>
      <c r="D30" s="65">
        <v>30.212102662412004</v>
      </c>
      <c r="E30" s="65">
        <v>37.959709003017657</v>
      </c>
      <c r="F30" s="65">
        <v>6.1835155314439714</v>
      </c>
      <c r="G30" s="65">
        <v>7.8472347285856516</v>
      </c>
      <c r="H30" s="65">
        <v>123.72177173838026</v>
      </c>
      <c r="I30" s="65">
        <v>57.464039865887585</v>
      </c>
      <c r="J30" s="65">
        <v>8.8969497516013725</v>
      </c>
      <c r="K30" s="65">
        <v>7.9319240435248535</v>
      </c>
      <c r="L30" s="65">
        <v>1.192323489162378</v>
      </c>
      <c r="M30" s="65">
        <v>5.9888953121172444</v>
      </c>
      <c r="N30" s="65">
        <v>0</v>
      </c>
      <c r="O30" s="65">
        <v>1.7560592520145715</v>
      </c>
      <c r="P30" s="65">
        <v>0</v>
      </c>
      <c r="Q30" s="66">
        <v>0</v>
      </c>
      <c r="R30" s="70"/>
    </row>
    <row r="31" spans="1:18" ht="15.5" x14ac:dyDescent="0.35">
      <c r="A31" s="97"/>
      <c r="B31" s="75" t="s">
        <v>69</v>
      </c>
      <c r="C31" s="58">
        <v>0.15234670992372551</v>
      </c>
      <c r="D31" s="59">
        <v>0.10890785257580361</v>
      </c>
      <c r="E31" s="59">
        <v>0.12522370054384405</v>
      </c>
      <c r="F31" s="59">
        <v>0.2982374155067769</v>
      </c>
      <c r="G31" s="59">
        <v>0.10777178702902605</v>
      </c>
      <c r="H31" s="59">
        <v>0.14622861863468947</v>
      </c>
      <c r="I31" s="59">
        <v>0.18681509709883326</v>
      </c>
      <c r="J31" s="59">
        <v>0.13401486154822559</v>
      </c>
      <c r="K31" s="59">
        <v>0.27396002995076196</v>
      </c>
      <c r="L31" s="59">
        <v>0</v>
      </c>
      <c r="M31" s="59">
        <v>0.18800067199381343</v>
      </c>
      <c r="N31" s="59">
        <v>0</v>
      </c>
      <c r="O31" s="59">
        <v>0</v>
      </c>
      <c r="P31" s="59">
        <v>0</v>
      </c>
      <c r="Q31" s="60">
        <v>0</v>
      </c>
      <c r="R31" s="70"/>
    </row>
    <row r="32" spans="1:18" ht="15.5" x14ac:dyDescent="0.35">
      <c r="A32" s="97"/>
      <c r="B32" s="75" t="s">
        <v>70</v>
      </c>
      <c r="C32" s="58">
        <v>0.16185414286815067</v>
      </c>
      <c r="D32" s="59">
        <v>0.22590417557964546</v>
      </c>
      <c r="E32" s="59">
        <v>8.1410740454107788E-2</v>
      </c>
      <c r="F32" s="59">
        <v>0.1412485063269649</v>
      </c>
      <c r="G32" s="59">
        <v>0.10777178702902605</v>
      </c>
      <c r="H32" s="59">
        <v>0.24677989215405119</v>
      </c>
      <c r="I32" s="59">
        <v>2.4867427743466734E-2</v>
      </c>
      <c r="J32" s="59">
        <v>0.11323007344098325</v>
      </c>
      <c r="K32" s="59">
        <v>0.2771000107078061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60">
        <v>0</v>
      </c>
      <c r="R32" s="70"/>
    </row>
    <row r="33" spans="1:18" ht="15.5" x14ac:dyDescent="0.35">
      <c r="A33" s="97"/>
      <c r="B33" s="75" t="s">
        <v>71</v>
      </c>
      <c r="C33" s="58">
        <v>0.11171196579612497</v>
      </c>
      <c r="D33" s="59">
        <v>0.20757936964001505</v>
      </c>
      <c r="E33" s="59">
        <v>0.12613862366772824</v>
      </c>
      <c r="F33" s="59">
        <v>0.1367685591853636</v>
      </c>
      <c r="G33" s="59">
        <v>0.1113019251844744</v>
      </c>
      <c r="H33" s="59">
        <v>0.10341926036843152</v>
      </c>
      <c r="I33" s="59">
        <v>8.266719218492781E-2</v>
      </c>
      <c r="J33" s="59">
        <v>9.5738613821273258E-2</v>
      </c>
      <c r="K33" s="59">
        <v>0</v>
      </c>
      <c r="L33" s="59">
        <v>0</v>
      </c>
      <c r="M33" s="59">
        <v>0.18800067199381343</v>
      </c>
      <c r="N33" s="59">
        <v>0</v>
      </c>
      <c r="O33" s="59">
        <v>0</v>
      </c>
      <c r="P33" s="59">
        <v>0</v>
      </c>
      <c r="Q33" s="60">
        <v>0</v>
      </c>
      <c r="R33" s="70"/>
    </row>
    <row r="34" spans="1:18" ht="15.5" x14ac:dyDescent="0.35">
      <c r="A34" s="97"/>
      <c r="B34" s="75" t="s">
        <v>72</v>
      </c>
      <c r="C34" s="58">
        <v>0.1491983660174743</v>
      </c>
      <c r="D34" s="59">
        <v>0.1324571250058264</v>
      </c>
      <c r="E34" s="59">
        <v>0.1923175409309803</v>
      </c>
      <c r="F34" s="59">
        <v>0.1412485063269649</v>
      </c>
      <c r="G34" s="59">
        <v>0</v>
      </c>
      <c r="H34" s="59">
        <v>0.13716955637492537</v>
      </c>
      <c r="I34" s="59">
        <v>0.17878524186688402</v>
      </c>
      <c r="J34" s="59">
        <v>0</v>
      </c>
      <c r="K34" s="59">
        <v>0</v>
      </c>
      <c r="L34" s="59">
        <v>0</v>
      </c>
      <c r="M34" s="59">
        <v>0.47711308242705869</v>
      </c>
      <c r="N34" s="59">
        <v>0</v>
      </c>
      <c r="O34" s="59">
        <v>0.49194303570296005</v>
      </c>
      <c r="P34" s="59">
        <v>0</v>
      </c>
      <c r="Q34" s="60">
        <v>0</v>
      </c>
      <c r="R34" s="70"/>
    </row>
    <row r="35" spans="1:18" ht="15.5" x14ac:dyDescent="0.35">
      <c r="A35" s="97"/>
      <c r="B35" s="75" t="s">
        <v>73</v>
      </c>
      <c r="C35" s="58">
        <v>0.30632140692746401</v>
      </c>
      <c r="D35" s="59">
        <v>0.2947336770194427</v>
      </c>
      <c r="E35" s="59">
        <v>0.2709500597992095</v>
      </c>
      <c r="F35" s="59">
        <v>0.28249701265392979</v>
      </c>
      <c r="G35" s="59">
        <v>0.4540807885439731</v>
      </c>
      <c r="H35" s="59">
        <v>0.27002047909939242</v>
      </c>
      <c r="I35" s="59">
        <v>0.42507618949413156</v>
      </c>
      <c r="J35" s="59">
        <v>0.197749194414503</v>
      </c>
      <c r="K35" s="59">
        <v>0.34155344986632163</v>
      </c>
      <c r="L35" s="59">
        <v>0</v>
      </c>
      <c r="M35" s="59">
        <v>0.14688557358531443</v>
      </c>
      <c r="N35" s="59">
        <v>0</v>
      </c>
      <c r="O35" s="59">
        <v>0.50805696429703995</v>
      </c>
      <c r="P35" s="59">
        <v>0</v>
      </c>
      <c r="Q35" s="60">
        <v>0</v>
      </c>
      <c r="R35" s="70"/>
    </row>
    <row r="36" spans="1:18" ht="15.5" x14ac:dyDescent="0.35">
      <c r="A36" s="98"/>
      <c r="B36" s="77" t="s">
        <v>74</v>
      </c>
      <c r="C36" s="67">
        <v>0.11856740846706097</v>
      </c>
      <c r="D36" s="68">
        <v>3.0417800179266461E-2</v>
      </c>
      <c r="E36" s="68">
        <v>0.20395933460412999</v>
      </c>
      <c r="F36" s="68">
        <v>0</v>
      </c>
      <c r="G36" s="68">
        <v>0.21907371221350047</v>
      </c>
      <c r="H36" s="68">
        <v>9.6382193368509519E-2</v>
      </c>
      <c r="I36" s="68">
        <v>0.10178885161175626</v>
      </c>
      <c r="J36" s="68">
        <v>0.45926725677501501</v>
      </c>
      <c r="K36" s="68">
        <v>0.10738650947511029</v>
      </c>
      <c r="L36" s="68">
        <v>1</v>
      </c>
      <c r="M36" s="68">
        <v>0</v>
      </c>
      <c r="N36" s="68">
        <v>0</v>
      </c>
      <c r="O36" s="68">
        <v>0</v>
      </c>
      <c r="P36" s="68">
        <v>0</v>
      </c>
      <c r="Q36" s="69">
        <v>0</v>
      </c>
      <c r="R36" s="70"/>
    </row>
  </sheetData>
  <mergeCells count="7">
    <mergeCell ref="A30:A36"/>
    <mergeCell ref="A1:B2"/>
    <mergeCell ref="C1:Q1"/>
    <mergeCell ref="A3:A9"/>
    <mergeCell ref="A10:A15"/>
    <mergeCell ref="A16:A22"/>
    <mergeCell ref="A23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GenPop</vt:lpstr>
      <vt:lpstr>Parents</vt:lpstr>
      <vt:lpstr>Extra Crosstabs</vt:lpstr>
      <vt:lpstr>Provinces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Lockhart</dc:creator>
  <cp:lastModifiedBy>Angus Lockhart</cp:lastModifiedBy>
  <dcterms:created xsi:type="dcterms:W3CDTF">2026-07-29T14:04:54Z</dcterms:created>
  <dcterms:modified xsi:type="dcterms:W3CDTF">2026-08-19T17:19:26Z</dcterms:modified>
</cp:coreProperties>
</file>